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Costos" sheetId="3" state="visible" r:id="rId5"/>
    <sheet name="Escenarios" sheetId="4" state="visible" r:id="rId6"/>
    <sheet name="Notas y fue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<sst xmlns="http://schemas.openxmlformats.org/spreadsheetml/2006/main" count="339" uniqueCount="248">
  <si>
    <t xml:space="preserve">E6 - Analisis de costos: Pipeline de Analisis Inteligente (Proyecto B)</t>
  </si>
  <si>
    <t xml:space="preserve">Estimacion mensual de tokens, compute, almacenamiento y red. Comparativa entre las tres modalidades (2.3 en dos variantes).</t>
  </si>
  <si>
    <t xml:space="preserve">Como usar este libro</t>
  </si>
  <si>
    <t xml:space="preserve">1) Revisa y ajusta las celdas azules en la hoja Supuestos (las amarillas son las mas sensibles).</t>
  </si>
  <si>
    <t xml:space="preserve">2) Reemplaza los supuestos del equipo por tus mediciones: latencia por articulo (backend/results/benchmark.md), volumen real y tarifa electrica local.</t>
  </si>
  <si>
    <t xml:space="preserve">3) Costos = detalle del volumen base; Escenarios = como cambia el costo al crecer el volumen. Todo se recalcula solo.</t>
  </si>
  <si>
    <t xml:space="preserve">Resultado al volumen base</t>
  </si>
  <si>
    <t xml:space="preserve">Modalidad</t>
  </si>
  <si>
    <t xml:space="preserve">Total USD/mes</t>
  </si>
  <si>
    <t xml:space="preserve">USD por articulo</t>
  </si>
  <si>
    <t xml:space="preserve">USD por 1.000 articulos</t>
  </si>
  <si>
    <t xml:space="preserve">Instancias / nodos</t>
  </si>
  <si>
    <t xml:space="preserve">2.1 GCP Console</t>
  </si>
  <si>
    <t xml:space="preserve">2.2 ADK + GCP</t>
  </si>
  <si>
    <t xml:space="preserve">2.3-A Ollama equipo propio</t>
  </si>
  <si>
    <t xml:space="preserve">2.3-B Ollama VM en nube</t>
  </si>
  <si>
    <t xml:space="preserve">Modalidad mas barata (solo costo):</t>
  </si>
  <si>
    <t xml:space="preserve">Modalidad mas cara:</t>
  </si>
  <si>
    <t xml:space="preserve">Sensibilidad: costo de tokens cloud segun la tarifa de Vertex AI</t>
  </si>
  <si>
    <t xml:space="preserve">Tarifa</t>
  </si>
  <si>
    <t xml:space="preserve">2.1 USD/mes</t>
  </si>
  <si>
    <t xml:space="preserve">2.2 USD/mes</t>
  </si>
  <si>
    <t xml:space="preserve">Introductoria (hasta 31-dic-2026)</t>
  </si>
  <si>
    <t xml:space="preserve">Estandar (desde 1-ene-2027)</t>
  </si>
  <si>
    <t xml:space="preserve">Hallazgos (validos con los supuestos base; relee los numeros si cambias las entradas)</t>
  </si>
  <si>
    <t xml:space="preserve">- 2.1 y 2.2: el costo crece casi en proporcion al volumen porque lo domina el costo de tokens.</t>
  </si>
  <si>
    <t xml:space="preserve">- 2.2 cuesta mas que 2.1 por el ciclo ReAct (mas tokens y mas tiempo de instancia); el multiplicador x1,6 es un supuesto a medir.</t>
  </si>
  <si>
    <t xml:space="preserve">- 2.3-A: el costo es casi fijo (equipo + energia) y da saltos al agregar nodos; depende de la latencia real por articulo.</t>
  </si>
  <si>
    <t xml:space="preserve">- 2.3-B: una VM 24/7 se paga aunque este ociosa; a volumen bajo suele costar mas que una API gestionada.</t>
  </si>
  <si>
    <t xml:space="preserve">- La tarifa introductoria de Vertex AI termina el 31-dic-2026: el costo cloud puede duplicarse en 2027 (ver sensibilidad).</t>
  </si>
  <si>
    <t xml:space="preserve">- El costo NO mide calidad: un modelo de 3B puede exigir mas revision manual; tampoco incluye mano de obra ni mantenimiento.</t>
  </si>
  <si>
    <t xml:space="preserve">- Todos los precios cloud deben reconfirmarse en la calculadora de Google Cloud antes de decidir (ver hoja Notas y fuentes).</t>
  </si>
  <si>
    <t xml:space="preserve">Supuestos y entradas del modelo de costos</t>
  </si>
  <si>
    <t xml:space="preserve">Azul = dato de entrada editable | Azul con fondo amarillo = supuesto clave | Negro = formula. Cambia solo las celdas azules.</t>
  </si>
  <si>
    <t xml:space="preserve">Concepto</t>
  </si>
  <si>
    <t xml:space="preserve">Valor</t>
  </si>
  <si>
    <t xml:space="preserve">Unidad</t>
  </si>
  <si>
    <t xml:space="preserve">Fuente / estado</t>
  </si>
  <si>
    <t xml:space="preserve">A. Volumen y datos</t>
  </si>
  <si>
    <t xml:space="preserve">Articulos procesados por mes (volumen base)</t>
  </si>
  <si>
    <t xml:space="preserve">articulos/mes</t>
  </si>
  <si>
    <t xml:space="preserve">Supuesto del equipo: reemplazar con el volumen real de MediaGroup</t>
  </si>
  <si>
    <t xml:space="preserve">Meses de retencion de datos en la base</t>
  </si>
  <si>
    <t xml:space="preserve">meses</t>
  </si>
  <si>
    <t xml:space="preserve">Supuesto del equipo: reemplazar/medir</t>
  </si>
  <si>
    <t xml:space="preserve">Tamano almacenado por articulo (entrada + resultado + metricas)</t>
  </si>
  <si>
    <t xml:space="preserve">KB</t>
  </si>
  <si>
    <t xml:space="preserve">Supuesto del equipo: reemplazar/medir (medir con SQLite)</t>
  </si>
  <si>
    <t xml:space="preserve">Solicitudes HTTP por articulo (ingesta + consultas + dashboard)</t>
  </si>
  <si>
    <t xml:space="preserve">solicitudes</t>
  </si>
  <si>
    <t xml:space="preserve">Datos de salida por articulo (callback + respuestas al frontend)</t>
  </si>
  <si>
    <t xml:space="preserve">Logs generados por articulo</t>
  </si>
  <si>
    <t xml:space="preserve">Supuesto del equipo: reemplazar/medir (~12 eventos JSON)</t>
  </si>
  <si>
    <t xml:space="preserve">B. Tokens por articulo (de RFC-001, seccion 7)</t>
  </si>
  <si>
    <t xml:space="preserve">04 Analizar - tokens de entrada</t>
  </si>
  <si>
    <t xml:space="preserve">tokens</t>
  </si>
  <si>
    <t xml:space="preserve">Hipotesis RFC; medir con benchmark_ollama.py</t>
  </si>
  <si>
    <t xml:space="preserve">04 Analizar - tokens de salida</t>
  </si>
  <si>
    <t xml:space="preserve">Hipotesis RFC</t>
  </si>
  <si>
    <t xml:space="preserve">05 Enriquecer - tokens de entrada</t>
  </si>
  <si>
    <t xml:space="preserve">05 Enriquecer - tokens de salida</t>
  </si>
  <si>
    <t xml:space="preserve">06 Resumen SEO - tokens de entrada</t>
  </si>
  <si>
    <t xml:space="preserve">06 Resumen SEO - tokens de salida</t>
  </si>
  <si>
    <t xml:space="preserve">Tokens de entrada por articulo</t>
  </si>
  <si>
    <t xml:space="preserve">Formula</t>
  </si>
  <si>
    <t xml:space="preserve">Tokens de salida por articulo</t>
  </si>
  <si>
    <t xml:space="preserve">Llamadas LLM por articulo</t>
  </si>
  <si>
    <t xml:space="preserve">llamadas</t>
  </si>
  <si>
    <t xml:space="preserve">Diseno del pipeline (etapas 04, 05, 06)</t>
  </si>
  <si>
    <t xml:space="preserve">Factor de reintentos</t>
  </si>
  <si>
    <t xml:space="preserve">x</t>
  </si>
  <si>
    <t xml:space="preserve">Supuesto del equipo: reemplazar/medir (reintento del resumen SEO)</t>
  </si>
  <si>
    <t xml:space="preserve">Tokens de razonamiento extra por llamada (solo modelos cloud)</t>
  </si>
  <si>
    <t xml:space="preserve">Supuesto: 0. Si el modelo usa 'thinking' se factura como salida; medir con compare_providers.py</t>
  </si>
  <si>
    <t xml:space="preserve">C. Precios Vertex AI (modelos Gemini Flash recientes)</t>
  </si>
  <si>
    <t xml:space="preserve">Tarifa a usar</t>
  </si>
  <si>
    <t xml:space="preserve">Estandar (2027)</t>
  </si>
  <si>
    <t xml:space="preserve">selector</t>
  </si>
  <si>
    <t xml:space="preserve">Elige: Introductoria (2026) o Estandar (2027). Se usa la estandar por prudencia.</t>
  </si>
  <si>
    <t xml:space="preserve">Introductoria: entrada</t>
  </si>
  <si>
    <t xml:space="preserve">USD / 1M tokens</t>
  </si>
  <si>
    <t xml:space="preserve">Verificado 21-oct-2026 (Google Cloud): vigente hasta 31-dic-2026</t>
  </si>
  <si>
    <t xml:space="preserve">Introductoria: salida</t>
  </si>
  <si>
    <t xml:space="preserve">Estandar: entrada</t>
  </si>
  <si>
    <t xml:space="preserve">Verificado 21-oct-2026 (Google Cloud): desde 1-ene-2027</t>
  </si>
  <si>
    <t xml:space="preserve">Estandar: salida</t>
  </si>
  <si>
    <t xml:space="preserve">Precio de entrada en uso</t>
  </si>
  <si>
    <t xml:space="preserve">Precio de salida en uso</t>
  </si>
  <si>
    <t xml:space="preserve">D. Cloud Run (modalidades 2.1 y 2.2)</t>
  </si>
  <si>
    <t xml:space="preserve">Segundos de instancia por articulo (2.1)</t>
  </si>
  <si>
    <t xml:space="preserve">s</t>
  </si>
  <si>
    <t xml:space="preserve">Supuesto del equipo: reemplazar/medir (3 llamadas cloud + overhead); medir en despliegue</t>
  </si>
  <si>
    <t xml:space="preserve">vCPU por instancia</t>
  </si>
  <si>
    <t xml:space="preserve">vCPU</t>
  </si>
  <si>
    <t xml:space="preserve">Memoria por instancia</t>
  </si>
  <si>
    <t xml:space="preserve">GiB</t>
  </si>
  <si>
    <t xml:space="preserve">Instancias minimas siempre activas</t>
  </si>
  <si>
    <t xml:space="preserve">instancias</t>
  </si>
  <si>
    <t xml:space="preserve">Supuesto del equipo: reemplazar/medir (0 = escala a cero, con arranque en frio)</t>
  </si>
  <si>
    <t xml:space="preserve">Precio CPU</t>
  </si>
  <si>
    <t xml:space="preserve">USD / vCPU-s</t>
  </si>
  <si>
    <t xml:space="preserve">Fuente secundaria (ver Notas); hay fuentes con tarifa menor (0.000018)</t>
  </si>
  <si>
    <t xml:space="preserve">Precio memoria</t>
  </si>
  <si>
    <t xml:space="preserve">USD / GiB-s</t>
  </si>
  <si>
    <t xml:space="preserve">Fuente secundaria (ver Notas)</t>
  </si>
  <si>
    <t xml:space="preserve">Precio solicitudes</t>
  </si>
  <si>
    <t xml:space="preserve">USD / 1M</t>
  </si>
  <si>
    <t xml:space="preserve">Capa gratuita CPU</t>
  </si>
  <si>
    <t xml:space="preserve">vCPU-s/mes</t>
  </si>
  <si>
    <t xml:space="preserve">Capa gratuita memoria</t>
  </si>
  <si>
    <t xml:space="preserve">GiB-s/mes</t>
  </si>
  <si>
    <t xml:space="preserve">Capa gratuita solicitudes</t>
  </si>
  <si>
    <t xml:space="preserve">solicitudes/mes</t>
  </si>
  <si>
    <t xml:space="preserve">E. Modalidad 2.2 (ADK: ciclo ReAct y session memory)</t>
  </si>
  <si>
    <t xml:space="preserve">Multiplicador de tokens por el ciclo ReAct</t>
  </si>
  <si>
    <t xml:space="preserve">Supuesto del equipo: reemplazar/medir: cada vuelta del agente reenvia contexto</t>
  </si>
  <si>
    <t xml:space="preserve">Multiplicador de tiempo de instancia</t>
  </si>
  <si>
    <t xml:space="preserve">Session memory extra por articulo</t>
  </si>
  <si>
    <t xml:space="preserve">Multiplicador de logs (trazas del agente)</t>
  </si>
  <si>
    <t xml:space="preserve">F. Servicios gestionados de GCP (2.1 y 2.2)</t>
  </si>
  <si>
    <t xml:space="preserve">Base de datos gestionada, costo fijo minimo</t>
  </si>
  <si>
    <t xml:space="preserve">USD/mes</t>
  </si>
  <si>
    <t xml:space="preserve">Referencial de memoria, NO verificado: confirmar (instancia minima; alternativa: Firestore pago por uso)</t>
  </si>
  <si>
    <t xml:space="preserve">Almacenamiento de base de datos</t>
  </si>
  <si>
    <t xml:space="preserve">USD / GB-mes</t>
  </si>
  <si>
    <t xml:space="preserve">Referencial de memoria, NO verificado: confirmar</t>
  </si>
  <si>
    <t xml:space="preserve">Cloud Logging</t>
  </si>
  <si>
    <t xml:space="preserve">USD / GiB</t>
  </si>
  <si>
    <t xml:space="preserve">Cloud Logging, capa gratuita</t>
  </si>
  <si>
    <t xml:space="preserve">GiB/mes</t>
  </si>
  <si>
    <t xml:space="preserve">Secretos en Secret Manager</t>
  </si>
  <si>
    <t xml:space="preserve">secretos</t>
  </si>
  <si>
    <t xml:space="preserve">Supuesto del equipo: reemplazar/medir (JWT, usuario, clave, callback)</t>
  </si>
  <si>
    <t xml:space="preserve">Secret Manager por secreto</t>
  </si>
  <si>
    <t xml:space="preserve">USD / mes</t>
  </si>
  <si>
    <t xml:space="preserve">Trafico de salida a Internet</t>
  </si>
  <si>
    <t xml:space="preserve">Fuente secundaria (ver Notas) (cubeapm.com)</t>
  </si>
  <si>
    <t xml:space="preserve">Trafico de salida gratuito</t>
  </si>
  <si>
    <t xml:space="preserve">Supuesto prudente: sin capa gratuita</t>
  </si>
  <si>
    <t xml:space="preserve">G. Ollama local (modalidad 2.3)</t>
  </si>
  <si>
    <t xml:space="preserve">Segundos de proceso por articulo (CPU)</t>
  </si>
  <si>
    <t xml:space="preserve">HIPOTESIS: reemplazar con 'Latencia por articulo' de backend/results/benchmark.md</t>
  </si>
  <si>
    <t xml:space="preserve">Utilizacion objetivo por nodo</t>
  </si>
  <si>
    <t xml:space="preserve">fraccion</t>
  </si>
  <si>
    <t xml:space="preserve">Supuesto del equipo: reemplazar/medir (holgura para picos)</t>
  </si>
  <si>
    <t xml:space="preserve">Horas por mes</t>
  </si>
  <si>
    <t xml:space="preserve">h</t>
  </si>
  <si>
    <t xml:space="preserve">Calendario</t>
  </si>
  <si>
    <t xml:space="preserve">2.3-A Equipo propio: costo del equipo (8-16 GB RAM)</t>
  </si>
  <si>
    <t xml:space="preserve">USD</t>
  </si>
  <si>
    <t xml:space="preserve">Supuesto del equipo: reemplazar/medir (reemplazar por cotizacion real)</t>
  </si>
  <si>
    <t xml:space="preserve">2.3-A Meses de amortizacion</t>
  </si>
  <si>
    <t xml:space="preserve">2.3-A Consumo bajo carga</t>
  </si>
  <si>
    <t xml:space="preserve">W</t>
  </si>
  <si>
    <t xml:space="preserve">2.3-A Consumo en reposo</t>
  </si>
  <si>
    <t xml:space="preserve">2.3-A Precio de la electricidad</t>
  </si>
  <si>
    <t xml:space="preserve">USD / kWh</t>
  </si>
  <si>
    <t xml:space="preserve">Supuesto del equipo: reemplazar/medir (usar tu tarifa)</t>
  </si>
  <si>
    <t xml:space="preserve">2.3-B VM en la nube 4 vCPU / 16 GB, 24/7</t>
  </si>
  <si>
    <t xml:space="preserve">USD / hora</t>
  </si>
  <si>
    <t xml:space="preserve">Referencial de memoria, NO verificado: confirmar (e2-standard-4 aprox.)</t>
  </si>
  <si>
    <t xml:space="preserve">2.3-B Disco de la VM</t>
  </si>
  <si>
    <t xml:space="preserve">GB</t>
  </si>
  <si>
    <t xml:space="preserve">2.3-B Precio del disco</t>
  </si>
  <si>
    <t xml:space="preserve">Costo mensual detallado por modalidad (volumen base)</t>
  </si>
  <si>
    <t xml:space="preserve">Todas las celdas son formulas que leen la hoja Supuestos. Categorias pedidas: tokens, compute, almacenamiento y red.</t>
  </si>
  <si>
    <t xml:space="preserve">Notas</t>
  </si>
  <si>
    <t xml:space="preserve">TOKENS</t>
  </si>
  <si>
    <t xml:space="preserve">Articulos por mes</t>
  </si>
  <si>
    <t xml:space="preserve">Incluye reintentos; 2.2 multiplica por el ciclo ReAct</t>
  </si>
  <si>
    <t xml:space="preserve">Cloud suma tokens de razonamiento si se configuran</t>
  </si>
  <si>
    <t xml:space="preserve">Millones de tokens por mes</t>
  </si>
  <si>
    <t xml:space="preserve">Precio de entrada (USD / 1M)</t>
  </si>
  <si>
    <t xml:space="preserve">Local: sin costo por token</t>
  </si>
  <si>
    <t xml:space="preserve">Precio de salida (USD / 1M)</t>
  </si>
  <si>
    <t xml:space="preserve">Costo de tokens (USD/mes)</t>
  </si>
  <si>
    <t xml:space="preserve">COMPUTE</t>
  </si>
  <si>
    <t xml:space="preserve">Segundos de proceso por articulo</t>
  </si>
  <si>
    <t xml:space="preserve">Local: hipotesis a medir con el benchmark</t>
  </si>
  <si>
    <t xml:space="preserve">Instancias minimas (cloud) / nodos necesarios (local)</t>
  </si>
  <si>
    <t xml:space="preserve">Local: nodos para no pasar la utilizacion objetivo</t>
  </si>
  <si>
    <t xml:space="preserve">Utilizacion de capacidad (local)</t>
  </si>
  <si>
    <t xml:space="preserve">Cloud: escala automaticamente</t>
  </si>
  <si>
    <t xml:space="preserve">vCPU-segundos facturables (Cloud Run)</t>
  </si>
  <si>
    <t xml:space="preserve">Descuenta la capa gratuita</t>
  </si>
  <si>
    <t xml:space="preserve">GiB-segundos facturables (Cloud Run)</t>
  </si>
  <si>
    <t xml:space="preserve">Solicitudes facturables (Cloud Run)</t>
  </si>
  <si>
    <t xml:space="preserve">Costo Cloud Run (CPU + memoria + solicitudes)</t>
  </si>
  <si>
    <t xml:space="preserve">Costo de equipo amortizado / VM 24/7</t>
  </si>
  <si>
    <t xml:space="preserve">2.3-B paga la VM aunque este ociosa</t>
  </si>
  <si>
    <t xml:space="preserve">Costo de energia (equipo propio)</t>
  </si>
  <si>
    <t xml:space="preserve">Costo de compute (USD/mes)</t>
  </si>
  <si>
    <t xml:space="preserve">ALMACENAMIENTO</t>
  </si>
  <si>
    <t xml:space="preserve">GB de datos retenidos</t>
  </si>
  <si>
    <t xml:space="preserve">2.2 incluye session memory</t>
  </si>
  <si>
    <t xml:space="preserve">GiB de logs por mes</t>
  </si>
  <si>
    <t xml:space="preserve">Costo de base de datos / disco</t>
  </si>
  <si>
    <t xml:space="preserve">Equipo propio: disco incluido</t>
  </si>
  <si>
    <t xml:space="preserve">Costo de logging</t>
  </si>
  <si>
    <t xml:space="preserve">Local: journald en disco</t>
  </si>
  <si>
    <t xml:space="preserve">Costo de almacenamiento (USD/mes)</t>
  </si>
  <si>
    <t xml:space="preserve">RED</t>
  </si>
  <si>
    <t xml:space="preserve">GiB de salida por mes</t>
  </si>
  <si>
    <t xml:space="preserve">Costo de red (USD/mes)</t>
  </si>
  <si>
    <t xml:space="preserve">Equipo propio: sin cargo adicional (red existente)</t>
  </si>
  <si>
    <t xml:space="preserve">OTROS SERVICIOS</t>
  </si>
  <si>
    <t xml:space="preserve">Secret Manager (USD/mes)</t>
  </si>
  <si>
    <t xml:space="preserve">Local: secretos en .env (menor seguridad)</t>
  </si>
  <si>
    <t xml:space="preserve">TOTALES</t>
  </si>
  <si>
    <t xml:space="preserve">TOTAL MENSUAL (USD)</t>
  </si>
  <si>
    <t xml:space="preserve">Costo por articulo (USD)</t>
  </si>
  <si>
    <t xml:space="preserve">Costo por 1.000 articulos (USD)</t>
  </si>
  <si>
    <t xml:space="preserve">Escenarios de volumen: costo mensual total por modalidad</t>
  </si>
  <si>
    <t xml:space="preserve">Los volumenes (azul) se pueden editar. La ultima fila usa el volumen base de Supuestos y sirve de verificacion contra la hoja Costos.</t>
  </si>
  <si>
    <t xml:space="preserve">Articulos / mes</t>
  </si>
  <si>
    <t xml:space="preserve">2.1 GCP Console (USD/mes)</t>
  </si>
  <si>
    <t xml:space="preserve">2.2 ADK + GCP (USD/mes)</t>
  </si>
  <si>
    <t xml:space="preserve">2.3-A Ollama equipo propio (USD/mes)</t>
  </si>
  <si>
    <t xml:space="preserve">2.3-B Ollama VM en nube (USD/mes)</t>
  </si>
  <si>
    <t xml:space="preserve">&lt;- volumen base (Supuestos)</t>
  </si>
  <si>
    <t xml:space="preserve">Detalle por categoria</t>
  </si>
  <si>
    <t xml:space="preserve">Verificacion vs hoja Costos (debe ser 0):</t>
  </si>
  <si>
    <t xml:space="preserve">Articulos/mes</t>
  </si>
  <si>
    <t xml:space="preserve">Tokens</t>
  </si>
  <si>
    <t xml:space="preserve">Compute</t>
  </si>
  <si>
    <t xml:space="preserve">Almacenamiento</t>
  </si>
  <si>
    <t xml:space="preserve">Red</t>
  </si>
  <si>
    <t xml:space="preserve">Otros</t>
  </si>
  <si>
    <t xml:space="preserve">Total (USD/mes)</t>
  </si>
  <si>
    <t xml:space="preserve">Notas, fuentes y limitaciones</t>
  </si>
  <si>
    <t xml:space="preserve">FUENTES (consultadas el 21-oct-2026)</t>
  </si>
  <si>
    <t xml:space="preserve">Vertex AI - precios de Gemini</t>
  </si>
  <si>
    <t xml:space="preserve">https://cloud.google.com/vertex-ai/generative-ai/pricing. Gemini 3.6/3.7/3.8 Flash: USD 0.75 / 3.75 por 1M tokens (entrada/salida) hasta el 31-dic-2026; desde el 1-ene-2027, USD 1.5 / 7.5. Debe coincidir con el modelo que realmente uses.</t>
  </si>
  <si>
    <t xml:space="preserve">Cloud Run - precios</t>
  </si>
  <si>
    <t xml:space="preserve">Pagina oficial: https://cloud.google.com/run/pricing (el extracto consultado no mostraba las cifras). Valores tomados de resumenes de terceros: https://tech-insider.org/how-to-set-up-google-cloud-run-2026/ y https://cubeapm.com/ (egreso USD 0.12/GiB). Hay una fuente que indica una rebaja a USD 0.000018/vCPU-s y 0.000002/GiB-s: se uso la tarifa mayor por prudencia.</t>
  </si>
  <si>
    <t xml:space="preserve">Datos NO verificados en esta sesion</t>
  </si>
  <si>
    <t xml:space="preserve">Cloud Logging, Secret Manager, base de datos gestionada, VM e2-standard-4 y disco persistente: valores de referencia de memoria. Confirmar en https://cloud.google.com/products/calculator.</t>
  </si>
  <si>
    <t xml:space="preserve">Supuestos del equipo</t>
  </si>
  <si>
    <t xml:space="preserve">Volumen, tamanos de datos, solicitudes por articulo, segundos por articulo, costo de equipo, consumo electrico y tarifa de electricidad son estimaciones. Reemplazarlas por mediciones.</t>
  </si>
  <si>
    <t xml:space="preserve">LIMITACIONES DEL MODELO</t>
  </si>
  <si>
    <t xml:space="preserve">Cloud Run y BackgroundTasks</t>
  </si>
  <si>
    <t xml:space="preserve">Con facturacion por solicitud, la CPU se limita cuando la respuesta ya fue enviada; el pipeline asincrono necesita CPU siempre asignada, procesar dentro de la solicitud o una cola (Cloud Tasks). Esto puede subir el costo de compute respecto de la hoja.</t>
  </si>
  <si>
    <t xml:space="preserve">Costos no incluidos</t>
  </si>
  <si>
    <t xml:space="preserve">Mano de obra, mantenimiento, monitoreo, impuestos, creditos o descuentos de GCP, respaldo, alta disponibilidad, costo de revision manual por errores del modelo.</t>
  </si>
  <si>
    <t xml:space="preserve">Escalado local</t>
  </si>
  <si>
    <t xml:space="preserve">Un nodo se dimensiona con la latencia hipotetica por articulo. Con GPU el calculo cambia (mas caro por nodo, mucho mas rapido). Medir con backend/scripts/benchmark_ollama.py.</t>
  </si>
  <si>
    <t xml:space="preserve">Datos gratuitos</t>
  </si>
  <si>
    <t xml:space="preserve">Las capas gratuitas de Cloud Run se aplican por cuenta de facturacion; pueden estar consumidas por otros servicios.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</si>
</sst>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&quot; articulos/mes&quot;"/>
    <numFmt numFmtId="166" formatCode="\$#,##0.00;&quot;($&quot;#,##0.00\);\-"/>
    <numFmt numFmtId="167" formatCode="\$#,##0.0000;&quot;($&quot;#,##0.0000\);\-"/>
    <numFmt numFmtId="168" formatCode="#,##0;\(#,##0\);\-"/>
    <numFmt numFmtId="169" formatCode="0"/>
    <numFmt numFmtId="170" formatCode="0.00"/>
    <numFmt numFmtId="171" formatCode="\$0.00"/>
    <numFmt numFmtId="172" formatCode="0.000000"/>
    <numFmt numFmtId="173" formatCode="0.0%"/>
    <numFmt numFmtId="174" formatCode="#,##0.00;\(#,##0.00\);\-"/>
    <numFmt numFmtId="175" formatCode="\$0.00;&quot;($&quot;0.00\);\-"/>
    <numFmt numFmtId="176" formatCode="0.000"/>
    <numFmt numFmtId="177" formatCode="\$#,##0.000000;&quot;($&quot;#,##0.000000\);\-"/>
    <numFmt numFmtId="178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F0E8"/>
        <bgColor rgb="FFDBE8F5"/>
      </patternFill>
    </fill>
    <fill>
      <patternFill patternType="solid">
        <fgColor rgb="FFDBE8F5"/>
        <bgColor rgb="FFE8F0E8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BE4B48"/>
      <rgbColor rgb="FFE8F0E8"/>
      <rgbColor rgb="FFDBE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mensual por modalidad (escala logaritmica)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Escenarios!B4</c:f>
              <c:strCache>
                <c:ptCount val="1"/>
                <c:pt idx="0">
                  <c:v>2.1 GCP Console (USD/mes)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Escenarios!$A$5:$A$10</c:f>
              <c:strCache>
                <c:ptCount val="6"/>
                <c:pt idx="0">
                  <c:v>1,000</c:v>
                </c:pt>
                <c:pt idx="1">
                  <c:v>5,000</c:v>
                </c:pt>
                <c:pt idx="2">
                  <c:v>10,000</c:v>
                </c:pt>
                <c:pt idx="3">
                  <c:v>50,000</c:v>
                </c:pt>
                <c:pt idx="4">
                  <c:v>100,000</c:v>
                </c:pt>
                <c:pt idx="5">
                  <c:v>500,000</c:v>
                </c:pt>
              </c:strCache>
            </c:strRef>
          </c:cat>
          <c:val>
            <c:numRef>
              <c:f>Escenarios!$B$5:$B$10</c:f>
              <c:numCache>
                <c:formatCode>\$#,##0.00;"($"#,##0.00\);\-</c:formatCode>
                <c:ptCount val="6"/>
                <c:pt idx="0">
                  <c:v>18.458995</c:v>
                </c:pt>
                <c:pt idx="1">
                  <c:v>51.334975</c:v>
                </c:pt>
                <c:pt idx="2">
                  <c:v>92.42995</c:v>
                </c:pt>
                <c:pt idx="3">
                  <c:v>429.21975</c:v>
                </c:pt>
                <c:pt idx="4">
                  <c:v>853.4195</c:v>
                </c:pt>
                <c:pt idx="5">
                  <c:v>4247.8175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Escenarios!C4</c:f>
              <c:strCache>
                <c:ptCount val="1"/>
                <c:pt idx="0">
                  <c:v>2.2 ADK + GCP (USD/mes)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Escenarios!$A$5:$A$10</c:f>
              <c:strCache>
                <c:ptCount val="6"/>
                <c:pt idx="0">
                  <c:v>1,000</c:v>
                </c:pt>
                <c:pt idx="1">
                  <c:v>5,000</c:v>
                </c:pt>
                <c:pt idx="2">
                  <c:v>10,000</c:v>
                </c:pt>
                <c:pt idx="3">
                  <c:v>50,000</c:v>
                </c:pt>
                <c:pt idx="4">
                  <c:v>100,000</c:v>
                </c:pt>
                <c:pt idx="5">
                  <c:v>500,000</c:v>
                </c:pt>
              </c:strCache>
            </c:strRef>
          </c:cat>
          <c:val>
            <c:numRef>
              <c:f>Escenarios!$C$5:$C$10</c:f>
              <c:numCache>
                <c:formatCode>\$#,##0.00;"($"#,##0.00\);\-</c:formatCode>
                <c:ptCount val="6"/>
                <c:pt idx="0">
                  <c:v>23.41852</c:v>
                </c:pt>
                <c:pt idx="1">
                  <c:v>76.1326</c:v>
                </c:pt>
                <c:pt idx="2">
                  <c:v>142.0252</c:v>
                </c:pt>
                <c:pt idx="3">
                  <c:v>685.146</c:v>
                </c:pt>
                <c:pt idx="4">
                  <c:v>1365.272</c:v>
                </c:pt>
                <c:pt idx="5">
                  <c:v>6807.08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Escenarios!D4</c:f>
              <c:strCache>
                <c:ptCount val="1"/>
                <c:pt idx="0">
                  <c:v>2.3-A Ollama equipo propio (USD/mes)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Escenarios!$A$5:$A$10</c:f>
              <c:strCache>
                <c:ptCount val="6"/>
                <c:pt idx="0">
                  <c:v>1,000</c:v>
                </c:pt>
                <c:pt idx="1">
                  <c:v>5,000</c:v>
                </c:pt>
                <c:pt idx="2">
                  <c:v>10,000</c:v>
                </c:pt>
                <c:pt idx="3">
                  <c:v>50,000</c:v>
                </c:pt>
                <c:pt idx="4">
                  <c:v>100,000</c:v>
                </c:pt>
                <c:pt idx="5">
                  <c:v>500,000</c:v>
                </c:pt>
              </c:strCache>
            </c:strRef>
          </c:cat>
          <c:val>
            <c:numRef>
              <c:f>Escenarios!$D$5:$D$10</c:f>
              <c:numCache>
                <c:formatCode>\$#,##0.00;"($"#,##0.00\);\-</c:formatCode>
                <c:ptCount val="6"/>
                <c:pt idx="0">
                  <c:v>35.0695833333333</c:v>
                </c:pt>
                <c:pt idx="1">
                  <c:v>35.4445833333333</c:v>
                </c:pt>
                <c:pt idx="2">
                  <c:v>35.9133333333333</c:v>
                </c:pt>
                <c:pt idx="3">
                  <c:v>74.6391666666667</c:v>
                </c:pt>
                <c:pt idx="4">
                  <c:v>114.3025</c:v>
                </c:pt>
                <c:pt idx="5">
                  <c:v>501.560833333333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Escenarios!E4</c:f>
              <c:strCache>
                <c:ptCount val="1"/>
                <c:pt idx="0">
                  <c:v>2.3-B Ollama VM en nube (USD/mes)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Escenarios!$A$5:$A$10</c:f>
              <c:strCache>
                <c:ptCount val="6"/>
                <c:pt idx="0">
                  <c:v>1,000</c:v>
                </c:pt>
                <c:pt idx="1">
                  <c:v>5,000</c:v>
                </c:pt>
                <c:pt idx="2">
                  <c:v>10,000</c:v>
                </c:pt>
                <c:pt idx="3">
                  <c:v>50,000</c:v>
                </c:pt>
                <c:pt idx="4">
                  <c:v>100,000</c:v>
                </c:pt>
                <c:pt idx="5">
                  <c:v>500,000</c:v>
                </c:pt>
              </c:strCache>
            </c:strRef>
          </c:cat>
          <c:val>
            <c:numRef>
              <c:f>Escenarios!$E$5:$E$10</c:f>
              <c:numCache>
                <c:formatCode>\$#,##0.00;"($"#,##0.00\);\-</c:formatCode>
                <c:ptCount val="6"/>
                <c:pt idx="0">
                  <c:v>102.8344</c:v>
                </c:pt>
                <c:pt idx="1">
                  <c:v>102.892</c:v>
                </c:pt>
                <c:pt idx="2">
                  <c:v>102.964</c:v>
                </c:pt>
                <c:pt idx="3">
                  <c:v>201.36</c:v>
                </c:pt>
                <c:pt idx="4">
                  <c:v>299.9</c:v>
                </c:pt>
                <c:pt idx="5">
                  <c:v>1283.86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786890"/>
        <c:axId val="7383942"/>
      </c:lineChart>
      <c:catAx>
        <c:axId val="697868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Articulos / 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3942"/>
        <c:crosses val="autoZero"/>
        <c:auto val="1"/>
        <c:lblAlgn val="ctr"/>
        <c:lblOffset val="100"/>
        <c:noMultiLvlLbl val="0"/>
      </c:catAx>
      <c:valAx>
        <c:axId val="73839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/ 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868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22</xdr:col>
      <xdr:colOff>473040</xdr:colOff>
      <xdr:row>19</xdr:row>
      <xdr:rowOff>49680</xdr:rowOff>
    </xdr:to>
    <xdr:graphicFrame>
      <xdr:nvGraphicFramePr>
        <xdr:cNvPr id="0" name="Chart 1"/>
        <xdr:cNvGraphicFramePr/>
      </xdr:nvGraphicFramePr>
      <xdr:xfrm>
        <a:off x="15131520" y="5716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2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5" t="s">
        <v>6</v>
      </c>
      <c r="B9" s="6" t="n">
        <f aca="false">Supuestos!$B$6</f>
        <v>10000</v>
      </c>
    </row>
    <row r="10" customFormat="false" ht="30" hidden="false" customHeight="true" outlineLevel="0" collapsed="false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</row>
    <row r="11" customFormat="false" ht="15" hidden="false" customHeight="false" outlineLevel="0" collapsed="false">
      <c r="A11" s="8" t="s">
        <v>12</v>
      </c>
      <c r="B11" s="9" t="n">
        <f aca="false">Costos!B36</f>
        <v>92.42995</v>
      </c>
      <c r="C11" s="10" t="n">
        <f aca="false">Costos!B37</f>
        <v>0.009242995</v>
      </c>
      <c r="D11" s="9" t="n">
        <f aca="false">Costos!B38</f>
        <v>9.242995</v>
      </c>
      <c r="E11" s="11" t="n">
        <f aca="false">Costos!B15</f>
        <v>0</v>
      </c>
    </row>
    <row r="12" customFormat="false" ht="15" hidden="false" customHeight="false" outlineLevel="0" collapsed="false">
      <c r="A12" s="8" t="s">
        <v>13</v>
      </c>
      <c r="B12" s="9" t="n">
        <f aca="false">Costos!C36</f>
        <v>142.0252</v>
      </c>
      <c r="C12" s="10" t="n">
        <f aca="false">Costos!C37</f>
        <v>0.01420252</v>
      </c>
      <c r="D12" s="9" t="n">
        <f aca="false">Costos!C38</f>
        <v>14.20252</v>
      </c>
      <c r="E12" s="11" t="n">
        <f aca="false">Costos!C15</f>
        <v>0</v>
      </c>
    </row>
    <row r="13" customFormat="false" ht="15" hidden="false" customHeight="false" outlineLevel="0" collapsed="false">
      <c r="A13" s="8" t="s">
        <v>14</v>
      </c>
      <c r="B13" s="9" t="n">
        <f aca="false">Costos!D36</f>
        <v>35.9133333333333</v>
      </c>
      <c r="C13" s="10" t="n">
        <f aca="false">Costos!D37</f>
        <v>0.00359133333333333</v>
      </c>
      <c r="D13" s="9" t="n">
        <f aca="false">Costos!D38</f>
        <v>3.59133333333333</v>
      </c>
      <c r="E13" s="11" t="n">
        <f aca="false">Costos!D15</f>
        <v>1</v>
      </c>
    </row>
    <row r="14" customFormat="false" ht="15" hidden="false" customHeight="false" outlineLevel="0" collapsed="false">
      <c r="A14" s="8" t="s">
        <v>15</v>
      </c>
      <c r="B14" s="9" t="n">
        <f aca="false">Costos!E36</f>
        <v>102.964</v>
      </c>
      <c r="C14" s="10" t="n">
        <f aca="false">Costos!E37</f>
        <v>0.0102964</v>
      </c>
      <c r="D14" s="9" t="n">
        <f aca="false">Costos!E38</f>
        <v>10.2964</v>
      </c>
      <c r="E14" s="11" t="n">
        <f aca="false">Costos!E15</f>
        <v>1</v>
      </c>
    </row>
    <row r="15" customFormat="false" ht="15" hidden="false" customHeight="false" outlineLevel="0" collapsed="false">
      <c r="A15" s="3" t="s">
        <v>16</v>
      </c>
      <c r="B15" s="12" t="str">
        <f aca="false">INDEX(A11:A14,MATCH(MIN(B11:B14),B11:B14,0))</f>
        <v>2.3-A Ollama equipo propio</v>
      </c>
    </row>
    <row r="16" customFormat="false" ht="15" hidden="false" customHeight="false" outlineLevel="0" collapsed="false">
      <c r="A16" s="3" t="s">
        <v>17</v>
      </c>
      <c r="B16" s="3" t="str">
        <f aca="false">INDEX(A11:A14,MATCH(MAX(B11:B14),B11:B14,0))</f>
        <v>2.2 ADK + GCP</v>
      </c>
    </row>
    <row r="18" customFormat="false" ht="15" hidden="false" customHeight="false" outlineLevel="0" collapsed="false">
      <c r="A18" s="5" t="s">
        <v>18</v>
      </c>
    </row>
    <row r="19" customFormat="false" ht="15" hidden="false" customHeight="false" outlineLevel="0" collapsed="false">
      <c r="A19" s="13" t="s">
        <v>19</v>
      </c>
      <c r="B19" s="13" t="s">
        <v>20</v>
      </c>
      <c r="C19" s="13" t="s">
        <v>21</v>
      </c>
    </row>
    <row r="20" customFormat="false" ht="15" hidden="false" customHeight="false" outlineLevel="0" collapsed="false">
      <c r="A20" s="8" t="s">
        <v>22</v>
      </c>
      <c r="B20" s="14" t="n">
        <f aca="false">Supuestos!$B$6*(Supuestos!$B$20*Supuestos!$B$23*1)/1000000*Supuestos!$B$28+Supuestos!$B$6*((Supuestos!$B$21+Supuestos!$B$22*Supuestos!$B$24)*Supuestos!$B$23*1)/1000000*Supuestos!$B$29</f>
        <v>40.989375</v>
      </c>
      <c r="C20" s="14" t="n">
        <f aca="false">Supuestos!$B$6*(Supuestos!$B$20*Supuestos!$B$23*Supuestos!$B$48)/1000000*Supuestos!$B$28+Supuestos!$B$6*((Supuestos!$B$21+Supuestos!$B$22*Supuestos!$B$24)*Supuestos!$B$23*Supuestos!$B$48)/1000000*Supuestos!$B$29</f>
        <v>65.583</v>
      </c>
    </row>
    <row r="21" customFormat="false" ht="15" hidden="false" customHeight="false" outlineLevel="0" collapsed="false">
      <c r="A21" s="8" t="s">
        <v>23</v>
      </c>
      <c r="B21" s="14" t="n">
        <f aca="false">Supuestos!$B$6*(Supuestos!$B$20*Supuestos!$B$23*1)/1000000*Supuestos!$B$30+Supuestos!$B$6*((Supuestos!$B$21+Supuestos!$B$22*Supuestos!$B$24)*Supuestos!$B$23*1)/1000000*Supuestos!$B$31</f>
        <v>81.97875</v>
      </c>
      <c r="C21" s="14" t="n">
        <f aca="false">Supuestos!$B$6*(Supuestos!$B$20*Supuestos!$B$23*Supuestos!$B$48)/1000000*Supuestos!$B$30+Supuestos!$B$6*((Supuestos!$B$21+Supuestos!$B$22*Supuestos!$B$24)*Supuestos!$B$23*Supuestos!$B$48)/1000000*Supuestos!$B$31</f>
        <v>131.166</v>
      </c>
    </row>
    <row r="23" customFormat="false" ht="15" hidden="false" customHeight="false" outlineLevel="0" collapsed="false">
      <c r="A23" s="5" t="s">
        <v>24</v>
      </c>
    </row>
    <row r="24" customFormat="false" ht="15" hidden="false" customHeight="false" outlineLevel="0" collapsed="false">
      <c r="A24" s="4" t="s">
        <v>25</v>
      </c>
    </row>
    <row r="25" customFormat="false" ht="15" hidden="false" customHeight="false" outlineLevel="0" collapsed="false">
      <c r="A25" s="4" t="s">
        <v>26</v>
      </c>
    </row>
    <row r="26" customFormat="false" ht="15" hidden="false" customHeight="false" outlineLevel="0" collapsed="false">
      <c r="A26" s="4" t="s">
        <v>27</v>
      </c>
    </row>
    <row r="27" customFormat="false" ht="15" hidden="false" customHeight="false" outlineLevel="0" collapsed="false">
      <c r="A27" s="4" t="s">
        <v>28</v>
      </c>
    </row>
    <row r="28" customFormat="false" ht="15" hidden="false" customHeight="false" outlineLevel="0" collapsed="false">
      <c r="A28" s="4" t="s">
        <v>29</v>
      </c>
    </row>
    <row r="29" customFormat="false" ht="15" hidden="false" customHeight="false" outlineLevel="0" collapsed="false">
      <c r="A29" s="4" t="s">
        <v>30</v>
      </c>
    </row>
    <row r="30" customFormat="false" ht="15" hidden="false" customHeight="false" outlineLevel="0" collapsed="false">
      <c r="A30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8"/>
    <col collapsed="false" customWidth="true" hidden="false" outlineLevel="0" max="4" min="4" style="0" width="72"/>
  </cols>
  <sheetData>
    <row r="1" customFormat="false" ht="17.35" hidden="false" customHeight="false" outlineLevel="0" collapsed="false">
      <c r="A1" s="15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16" t="s">
        <v>34</v>
      </c>
      <c r="B4" s="16" t="s">
        <v>35</v>
      </c>
      <c r="C4" s="16" t="s">
        <v>36</v>
      </c>
      <c r="D4" s="16" t="s">
        <v>37</v>
      </c>
    </row>
    <row r="5" customFormat="false" ht="15" hidden="false" customHeight="false" outlineLevel="0" collapsed="false">
      <c r="A5" s="17" t="s">
        <v>38</v>
      </c>
      <c r="B5" s="18"/>
      <c r="C5" s="18"/>
      <c r="D5" s="18"/>
    </row>
    <row r="6" customFormat="false" ht="15" hidden="false" customHeight="false" outlineLevel="0" collapsed="false">
      <c r="A6" s="8" t="s">
        <v>39</v>
      </c>
      <c r="B6" s="19" t="n">
        <v>10000</v>
      </c>
      <c r="C6" s="8" t="s">
        <v>40</v>
      </c>
      <c r="D6" s="20" t="s">
        <v>41</v>
      </c>
    </row>
    <row r="7" customFormat="false" ht="15" hidden="false" customHeight="false" outlineLevel="0" collapsed="false">
      <c r="A7" s="8" t="s">
        <v>42</v>
      </c>
      <c r="B7" s="21" t="n">
        <v>12</v>
      </c>
      <c r="C7" s="8" t="s">
        <v>43</v>
      </c>
      <c r="D7" s="20" t="s">
        <v>44</v>
      </c>
    </row>
    <row r="8" customFormat="false" ht="15" hidden="false" customHeight="false" outlineLevel="0" collapsed="false">
      <c r="A8" s="8" t="s">
        <v>45</v>
      </c>
      <c r="B8" s="22" t="n">
        <v>8</v>
      </c>
      <c r="C8" s="8" t="s">
        <v>46</v>
      </c>
      <c r="D8" s="20" t="s">
        <v>47</v>
      </c>
    </row>
    <row r="9" customFormat="false" ht="15" hidden="false" customHeight="false" outlineLevel="0" collapsed="false">
      <c r="A9" s="8" t="s">
        <v>48</v>
      </c>
      <c r="B9" s="22" t="n">
        <v>8</v>
      </c>
      <c r="C9" s="8" t="s">
        <v>49</v>
      </c>
      <c r="D9" s="20" t="s">
        <v>44</v>
      </c>
    </row>
    <row r="10" customFormat="false" ht="15" hidden="false" customHeight="false" outlineLevel="0" collapsed="false">
      <c r="A10" s="8" t="s">
        <v>50</v>
      </c>
      <c r="B10" s="22" t="n">
        <v>40</v>
      </c>
      <c r="C10" s="8" t="s">
        <v>46</v>
      </c>
      <c r="D10" s="20" t="s">
        <v>44</v>
      </c>
    </row>
    <row r="11" customFormat="false" ht="15" hidden="false" customHeight="false" outlineLevel="0" collapsed="false">
      <c r="A11" s="8" t="s">
        <v>51</v>
      </c>
      <c r="B11" s="22" t="n">
        <v>4</v>
      </c>
      <c r="C11" s="8" t="s">
        <v>46</v>
      </c>
      <c r="D11" s="20" t="s">
        <v>52</v>
      </c>
    </row>
    <row r="13" customFormat="false" ht="15" hidden="false" customHeight="false" outlineLevel="0" collapsed="false">
      <c r="A13" s="17" t="s">
        <v>53</v>
      </c>
      <c r="B13" s="18"/>
      <c r="C13" s="18"/>
      <c r="D13" s="18"/>
    </row>
    <row r="14" customFormat="false" ht="15" hidden="false" customHeight="false" outlineLevel="0" collapsed="false">
      <c r="A14" s="8" t="s">
        <v>54</v>
      </c>
      <c r="B14" s="22" t="n">
        <v>1360</v>
      </c>
      <c r="C14" s="8" t="s">
        <v>55</v>
      </c>
      <c r="D14" s="20" t="s">
        <v>56</v>
      </c>
    </row>
    <row r="15" customFormat="false" ht="15" hidden="false" customHeight="false" outlineLevel="0" collapsed="false">
      <c r="A15" s="8" t="s">
        <v>57</v>
      </c>
      <c r="B15" s="22" t="n">
        <v>15</v>
      </c>
      <c r="C15" s="8" t="s">
        <v>55</v>
      </c>
      <c r="D15" s="20" t="s">
        <v>58</v>
      </c>
    </row>
    <row r="16" customFormat="false" ht="15" hidden="false" customHeight="false" outlineLevel="0" collapsed="false">
      <c r="A16" s="8" t="s">
        <v>59</v>
      </c>
      <c r="B16" s="22" t="n">
        <v>1420</v>
      </c>
      <c r="C16" s="8" t="s">
        <v>55</v>
      </c>
      <c r="D16" s="20" t="s">
        <v>58</v>
      </c>
    </row>
    <row r="17" customFormat="false" ht="15" hidden="false" customHeight="false" outlineLevel="0" collapsed="false">
      <c r="A17" s="8" t="s">
        <v>60</v>
      </c>
      <c r="B17" s="22" t="n">
        <v>150</v>
      </c>
      <c r="C17" s="8" t="s">
        <v>55</v>
      </c>
      <c r="D17" s="20" t="s">
        <v>58</v>
      </c>
    </row>
    <row r="18" customFormat="false" ht="15" hidden="false" customHeight="false" outlineLevel="0" collapsed="false">
      <c r="A18" s="8" t="s">
        <v>61</v>
      </c>
      <c r="B18" s="22" t="n">
        <v>1350</v>
      </c>
      <c r="C18" s="8" t="s">
        <v>55</v>
      </c>
      <c r="D18" s="20" t="s">
        <v>58</v>
      </c>
    </row>
    <row r="19" customFormat="false" ht="15" hidden="false" customHeight="false" outlineLevel="0" collapsed="false">
      <c r="A19" s="8" t="s">
        <v>62</v>
      </c>
      <c r="B19" s="22" t="n">
        <v>50</v>
      </c>
      <c r="C19" s="8" t="s">
        <v>55</v>
      </c>
      <c r="D19" s="20" t="s">
        <v>58</v>
      </c>
    </row>
    <row r="20" customFormat="false" ht="15" hidden="false" customHeight="false" outlineLevel="0" collapsed="false">
      <c r="A20" s="8" t="s">
        <v>63</v>
      </c>
      <c r="B20" s="23" t="n">
        <f aca="false">$B$14+$B$16+$B$18</f>
        <v>4130</v>
      </c>
      <c r="C20" s="8" t="s">
        <v>55</v>
      </c>
      <c r="D20" s="20" t="s">
        <v>64</v>
      </c>
    </row>
    <row r="21" customFormat="false" ht="15" hidden="false" customHeight="false" outlineLevel="0" collapsed="false">
      <c r="A21" s="8" t="s">
        <v>65</v>
      </c>
      <c r="B21" s="23" t="n">
        <f aca="false">$B$15+$B$17+$B$19</f>
        <v>215</v>
      </c>
      <c r="C21" s="8" t="s">
        <v>55</v>
      </c>
      <c r="D21" s="20" t="s">
        <v>64</v>
      </c>
    </row>
    <row r="22" customFormat="false" ht="15" hidden="false" customHeight="false" outlineLevel="0" collapsed="false">
      <c r="A22" s="8" t="s">
        <v>66</v>
      </c>
      <c r="B22" s="22" t="n">
        <v>3</v>
      </c>
      <c r="C22" s="8" t="s">
        <v>67</v>
      </c>
      <c r="D22" s="20" t="s">
        <v>68</v>
      </c>
    </row>
    <row r="23" customFormat="false" ht="15" hidden="false" customHeight="false" outlineLevel="0" collapsed="false">
      <c r="A23" s="8" t="s">
        <v>69</v>
      </c>
      <c r="B23" s="24" t="n">
        <v>1.05</v>
      </c>
      <c r="C23" s="8" t="s">
        <v>70</v>
      </c>
      <c r="D23" s="20" t="s">
        <v>71</v>
      </c>
    </row>
    <row r="24" customFormat="false" ht="23.85" hidden="false" customHeight="false" outlineLevel="0" collapsed="false">
      <c r="A24" s="8" t="s">
        <v>72</v>
      </c>
      <c r="B24" s="19" t="n">
        <v>0</v>
      </c>
      <c r="C24" s="8" t="s">
        <v>55</v>
      </c>
      <c r="D24" s="20" t="s">
        <v>73</v>
      </c>
    </row>
    <row r="26" customFormat="false" ht="15" hidden="false" customHeight="false" outlineLevel="0" collapsed="false">
      <c r="A26" s="17" t="s">
        <v>74</v>
      </c>
      <c r="B26" s="18"/>
      <c r="C26" s="18"/>
      <c r="D26" s="18"/>
    </row>
    <row r="27" customFormat="false" ht="15" hidden="false" customHeight="false" outlineLevel="0" collapsed="false">
      <c r="A27" s="8" t="s">
        <v>75</v>
      </c>
      <c r="B27" s="25" t="s">
        <v>76</v>
      </c>
      <c r="C27" s="8" t="s">
        <v>77</v>
      </c>
      <c r="D27" s="20" t="s">
        <v>78</v>
      </c>
    </row>
    <row r="28" customFormat="false" ht="15" hidden="false" customHeight="false" outlineLevel="0" collapsed="false">
      <c r="A28" s="8" t="s">
        <v>79</v>
      </c>
      <c r="B28" s="26" t="n">
        <v>0.75</v>
      </c>
      <c r="C28" s="8" t="s">
        <v>80</v>
      </c>
      <c r="D28" s="20" t="s">
        <v>81</v>
      </c>
    </row>
    <row r="29" customFormat="false" ht="15" hidden="false" customHeight="false" outlineLevel="0" collapsed="false">
      <c r="A29" s="8" t="s">
        <v>82</v>
      </c>
      <c r="B29" s="26" t="n">
        <v>3.75</v>
      </c>
      <c r="C29" s="8" t="s">
        <v>80</v>
      </c>
      <c r="D29" s="20" t="s">
        <v>81</v>
      </c>
    </row>
    <row r="30" customFormat="false" ht="15" hidden="false" customHeight="false" outlineLevel="0" collapsed="false">
      <c r="A30" s="8" t="s">
        <v>83</v>
      </c>
      <c r="B30" s="26" t="n">
        <v>1.5</v>
      </c>
      <c r="C30" s="8" t="s">
        <v>80</v>
      </c>
      <c r="D30" s="20" t="s">
        <v>84</v>
      </c>
    </row>
    <row r="31" customFormat="false" ht="15" hidden="false" customHeight="false" outlineLevel="0" collapsed="false">
      <c r="A31" s="8" t="s">
        <v>85</v>
      </c>
      <c r="B31" s="26" t="n">
        <v>7.5</v>
      </c>
      <c r="C31" s="8" t="s">
        <v>80</v>
      </c>
      <c r="D31" s="20" t="s">
        <v>84</v>
      </c>
    </row>
    <row r="32" customFormat="false" ht="15" hidden="false" customHeight="false" outlineLevel="0" collapsed="false">
      <c r="A32" s="8" t="s">
        <v>86</v>
      </c>
      <c r="B32" s="27" t="n">
        <f aca="false">IF($B$27="Introductoria (2026)",$B$28,$B$30)</f>
        <v>1.5</v>
      </c>
      <c r="C32" s="8" t="s">
        <v>80</v>
      </c>
      <c r="D32" s="20" t="s">
        <v>64</v>
      </c>
    </row>
    <row r="33" customFormat="false" ht="15" hidden="false" customHeight="false" outlineLevel="0" collapsed="false">
      <c r="A33" s="8" t="s">
        <v>87</v>
      </c>
      <c r="B33" s="27" t="n">
        <f aca="false">IF($B$27="Introductoria (2026)",$B$29,$B$31)</f>
        <v>7.5</v>
      </c>
      <c r="C33" s="8" t="s">
        <v>80</v>
      </c>
      <c r="D33" s="20" t="s">
        <v>64</v>
      </c>
    </row>
    <row r="35" customFormat="false" ht="15" hidden="false" customHeight="false" outlineLevel="0" collapsed="false">
      <c r="A35" s="17" t="s">
        <v>88</v>
      </c>
      <c r="B35" s="18"/>
      <c r="C35" s="18"/>
      <c r="D35" s="18"/>
    </row>
    <row r="36" customFormat="false" ht="23.85" hidden="false" customHeight="false" outlineLevel="0" collapsed="false">
      <c r="A36" s="8" t="s">
        <v>89</v>
      </c>
      <c r="B36" s="19" t="n">
        <v>10</v>
      </c>
      <c r="C36" s="8" t="s">
        <v>90</v>
      </c>
      <c r="D36" s="20" t="s">
        <v>91</v>
      </c>
    </row>
    <row r="37" customFormat="false" ht="15" hidden="false" customHeight="false" outlineLevel="0" collapsed="false">
      <c r="A37" s="8" t="s">
        <v>92</v>
      </c>
      <c r="B37" s="22" t="n">
        <v>1</v>
      </c>
      <c r="C37" s="8" t="s">
        <v>93</v>
      </c>
      <c r="D37" s="20" t="s">
        <v>44</v>
      </c>
    </row>
    <row r="38" customFormat="false" ht="15" hidden="false" customHeight="false" outlineLevel="0" collapsed="false">
      <c r="A38" s="8" t="s">
        <v>94</v>
      </c>
      <c r="B38" s="22" t="n">
        <v>1</v>
      </c>
      <c r="C38" s="8" t="s">
        <v>95</v>
      </c>
      <c r="D38" s="20" t="s">
        <v>44</v>
      </c>
    </row>
    <row r="39" customFormat="false" ht="15" hidden="false" customHeight="false" outlineLevel="0" collapsed="false">
      <c r="A39" s="8" t="s">
        <v>96</v>
      </c>
      <c r="B39" s="22" t="n">
        <v>0</v>
      </c>
      <c r="C39" s="8" t="s">
        <v>97</v>
      </c>
      <c r="D39" s="20" t="s">
        <v>98</v>
      </c>
    </row>
    <row r="40" customFormat="false" ht="15" hidden="false" customHeight="false" outlineLevel="0" collapsed="false">
      <c r="A40" s="8" t="s">
        <v>99</v>
      </c>
      <c r="B40" s="28" t="n">
        <v>2.4E-005</v>
      </c>
      <c r="C40" s="8" t="s">
        <v>100</v>
      </c>
      <c r="D40" s="20" t="s">
        <v>101</v>
      </c>
    </row>
    <row r="41" customFormat="false" ht="15" hidden="false" customHeight="false" outlineLevel="0" collapsed="false">
      <c r="A41" s="8" t="s">
        <v>102</v>
      </c>
      <c r="B41" s="28" t="n">
        <v>2.5E-006</v>
      </c>
      <c r="C41" s="8" t="s">
        <v>103</v>
      </c>
      <c r="D41" s="20" t="s">
        <v>104</v>
      </c>
    </row>
    <row r="42" customFormat="false" ht="15" hidden="false" customHeight="false" outlineLevel="0" collapsed="false">
      <c r="A42" s="8" t="s">
        <v>105</v>
      </c>
      <c r="B42" s="24" t="n">
        <v>0.4</v>
      </c>
      <c r="C42" s="8" t="s">
        <v>106</v>
      </c>
      <c r="D42" s="20" t="s">
        <v>104</v>
      </c>
    </row>
    <row r="43" customFormat="false" ht="15" hidden="false" customHeight="false" outlineLevel="0" collapsed="false">
      <c r="A43" s="8" t="s">
        <v>107</v>
      </c>
      <c r="B43" s="22" t="n">
        <v>180000</v>
      </c>
      <c r="C43" s="8" t="s">
        <v>108</v>
      </c>
      <c r="D43" s="20" t="s">
        <v>104</v>
      </c>
    </row>
    <row r="44" customFormat="false" ht="15" hidden="false" customHeight="false" outlineLevel="0" collapsed="false">
      <c r="A44" s="8" t="s">
        <v>109</v>
      </c>
      <c r="B44" s="22" t="n">
        <v>360000</v>
      </c>
      <c r="C44" s="8" t="s">
        <v>110</v>
      </c>
      <c r="D44" s="20" t="s">
        <v>104</v>
      </c>
    </row>
    <row r="45" customFormat="false" ht="15" hidden="false" customHeight="false" outlineLevel="0" collapsed="false">
      <c r="A45" s="8" t="s">
        <v>111</v>
      </c>
      <c r="B45" s="22" t="n">
        <v>2000000</v>
      </c>
      <c r="C45" s="8" t="s">
        <v>112</v>
      </c>
      <c r="D45" s="20" t="s">
        <v>104</v>
      </c>
    </row>
    <row r="47" customFormat="false" ht="15" hidden="false" customHeight="false" outlineLevel="0" collapsed="false">
      <c r="A47" s="17" t="s">
        <v>113</v>
      </c>
      <c r="B47" s="18"/>
      <c r="C47" s="18"/>
      <c r="D47" s="18"/>
    </row>
    <row r="48" customFormat="false" ht="15" hidden="false" customHeight="false" outlineLevel="0" collapsed="false">
      <c r="A48" s="8" t="s">
        <v>114</v>
      </c>
      <c r="B48" s="29" t="n">
        <v>1.6</v>
      </c>
      <c r="C48" s="8" t="s">
        <v>70</v>
      </c>
      <c r="D48" s="20" t="s">
        <v>115</v>
      </c>
    </row>
    <row r="49" customFormat="false" ht="15" hidden="false" customHeight="false" outlineLevel="0" collapsed="false">
      <c r="A49" s="8" t="s">
        <v>116</v>
      </c>
      <c r="B49" s="24" t="n">
        <v>1.6</v>
      </c>
      <c r="C49" s="8" t="s">
        <v>70</v>
      </c>
      <c r="D49" s="20" t="s">
        <v>44</v>
      </c>
    </row>
    <row r="50" customFormat="false" ht="15" hidden="false" customHeight="false" outlineLevel="0" collapsed="false">
      <c r="A50" s="8" t="s">
        <v>117</v>
      </c>
      <c r="B50" s="22" t="n">
        <v>20</v>
      </c>
      <c r="C50" s="8" t="s">
        <v>46</v>
      </c>
      <c r="D50" s="20" t="s">
        <v>44</v>
      </c>
    </row>
    <row r="51" customFormat="false" ht="15" hidden="false" customHeight="false" outlineLevel="0" collapsed="false">
      <c r="A51" s="8" t="s">
        <v>118</v>
      </c>
      <c r="B51" s="22" t="n">
        <v>2</v>
      </c>
      <c r="C51" s="8" t="s">
        <v>70</v>
      </c>
      <c r="D51" s="20" t="s">
        <v>44</v>
      </c>
    </row>
    <row r="53" customFormat="false" ht="15" hidden="false" customHeight="false" outlineLevel="0" collapsed="false">
      <c r="A53" s="17" t="s">
        <v>119</v>
      </c>
      <c r="B53" s="18"/>
      <c r="C53" s="18"/>
      <c r="D53" s="18"/>
    </row>
    <row r="54" customFormat="false" ht="23.85" hidden="false" customHeight="false" outlineLevel="0" collapsed="false">
      <c r="A54" s="8" t="s">
        <v>120</v>
      </c>
      <c r="B54" s="22" t="n">
        <v>10</v>
      </c>
      <c r="C54" s="8" t="s">
        <v>121</v>
      </c>
      <c r="D54" s="20" t="s">
        <v>122</v>
      </c>
    </row>
    <row r="55" customFormat="false" ht="15" hidden="false" customHeight="false" outlineLevel="0" collapsed="false">
      <c r="A55" s="8" t="s">
        <v>123</v>
      </c>
      <c r="B55" s="24" t="n">
        <v>0.17</v>
      </c>
      <c r="C55" s="8" t="s">
        <v>124</v>
      </c>
      <c r="D55" s="20" t="s">
        <v>125</v>
      </c>
    </row>
    <row r="56" customFormat="false" ht="15" hidden="false" customHeight="false" outlineLevel="0" collapsed="false">
      <c r="A56" s="8" t="s">
        <v>126</v>
      </c>
      <c r="B56" s="24" t="n">
        <v>0.5</v>
      </c>
      <c r="C56" s="8" t="s">
        <v>127</v>
      </c>
      <c r="D56" s="20" t="s">
        <v>125</v>
      </c>
    </row>
    <row r="57" customFormat="false" ht="15" hidden="false" customHeight="false" outlineLevel="0" collapsed="false">
      <c r="A57" s="8" t="s">
        <v>128</v>
      </c>
      <c r="B57" s="22" t="n">
        <v>50</v>
      </c>
      <c r="C57" s="8" t="s">
        <v>129</v>
      </c>
      <c r="D57" s="20" t="s">
        <v>125</v>
      </c>
    </row>
    <row r="58" customFormat="false" ht="15" hidden="false" customHeight="false" outlineLevel="0" collapsed="false">
      <c r="A58" s="8" t="s">
        <v>130</v>
      </c>
      <c r="B58" s="22" t="n">
        <v>4</v>
      </c>
      <c r="C58" s="8" t="s">
        <v>131</v>
      </c>
      <c r="D58" s="20" t="s">
        <v>132</v>
      </c>
    </row>
    <row r="59" customFormat="false" ht="15" hidden="false" customHeight="false" outlineLevel="0" collapsed="false">
      <c r="A59" s="8" t="s">
        <v>133</v>
      </c>
      <c r="B59" s="24" t="n">
        <v>0.06</v>
      </c>
      <c r="C59" s="8" t="s">
        <v>134</v>
      </c>
      <c r="D59" s="20" t="s">
        <v>125</v>
      </c>
    </row>
    <row r="60" customFormat="false" ht="15" hidden="false" customHeight="false" outlineLevel="0" collapsed="false">
      <c r="A60" s="8" t="s">
        <v>135</v>
      </c>
      <c r="B60" s="24" t="n">
        <v>0.12</v>
      </c>
      <c r="C60" s="8" t="s">
        <v>127</v>
      </c>
      <c r="D60" s="20" t="s">
        <v>136</v>
      </c>
    </row>
    <row r="61" customFormat="false" ht="15" hidden="false" customHeight="false" outlineLevel="0" collapsed="false">
      <c r="A61" s="8" t="s">
        <v>137</v>
      </c>
      <c r="B61" s="22" t="n">
        <v>0</v>
      </c>
      <c r="C61" s="8" t="s">
        <v>129</v>
      </c>
      <c r="D61" s="20" t="s">
        <v>138</v>
      </c>
    </row>
    <row r="63" customFormat="false" ht="15" hidden="false" customHeight="false" outlineLevel="0" collapsed="false">
      <c r="A63" s="17" t="s">
        <v>139</v>
      </c>
      <c r="B63" s="18"/>
      <c r="C63" s="18"/>
      <c r="D63" s="18"/>
    </row>
    <row r="64" customFormat="false" ht="15" hidden="false" customHeight="false" outlineLevel="0" collapsed="false">
      <c r="A64" s="8" t="s">
        <v>140</v>
      </c>
      <c r="B64" s="19" t="n">
        <v>45</v>
      </c>
      <c r="C64" s="8" t="s">
        <v>90</v>
      </c>
      <c r="D64" s="20" t="s">
        <v>141</v>
      </c>
    </row>
    <row r="65" customFormat="false" ht="15" hidden="false" customHeight="false" outlineLevel="0" collapsed="false">
      <c r="A65" s="8" t="s">
        <v>142</v>
      </c>
      <c r="B65" s="30" t="n">
        <v>0.7</v>
      </c>
      <c r="C65" s="8" t="s">
        <v>143</v>
      </c>
      <c r="D65" s="20" t="s">
        <v>144</v>
      </c>
    </row>
    <row r="66" customFormat="false" ht="15" hidden="false" customHeight="false" outlineLevel="0" collapsed="false">
      <c r="A66" s="8" t="s">
        <v>145</v>
      </c>
      <c r="B66" s="22" t="n">
        <v>730</v>
      </c>
      <c r="C66" s="8" t="s">
        <v>146</v>
      </c>
      <c r="D66" s="20" t="s">
        <v>147</v>
      </c>
    </row>
    <row r="67" customFormat="false" ht="15" hidden="false" customHeight="false" outlineLevel="0" collapsed="false">
      <c r="A67" s="8" t="s">
        <v>148</v>
      </c>
      <c r="B67" s="19" t="n">
        <v>1200</v>
      </c>
      <c r="C67" s="8" t="s">
        <v>149</v>
      </c>
      <c r="D67" s="20" t="s">
        <v>150</v>
      </c>
    </row>
    <row r="68" customFormat="false" ht="15" hidden="false" customHeight="false" outlineLevel="0" collapsed="false">
      <c r="A68" s="8" t="s">
        <v>151</v>
      </c>
      <c r="B68" s="22" t="n">
        <v>36</v>
      </c>
      <c r="C68" s="8" t="s">
        <v>43</v>
      </c>
      <c r="D68" s="20" t="s">
        <v>44</v>
      </c>
    </row>
    <row r="69" customFormat="false" ht="15" hidden="false" customHeight="false" outlineLevel="0" collapsed="false">
      <c r="A69" s="8" t="s">
        <v>152</v>
      </c>
      <c r="B69" s="22" t="n">
        <v>65</v>
      </c>
      <c r="C69" s="8" t="s">
        <v>153</v>
      </c>
      <c r="D69" s="20" t="s">
        <v>44</v>
      </c>
    </row>
    <row r="70" customFormat="false" ht="15" hidden="false" customHeight="false" outlineLevel="0" collapsed="false">
      <c r="A70" s="8" t="s">
        <v>154</v>
      </c>
      <c r="B70" s="22" t="n">
        <v>15</v>
      </c>
      <c r="C70" s="8" t="s">
        <v>153</v>
      </c>
      <c r="D70" s="20" t="s">
        <v>44</v>
      </c>
    </row>
    <row r="71" customFormat="false" ht="15" hidden="false" customHeight="false" outlineLevel="0" collapsed="false">
      <c r="A71" s="8" t="s">
        <v>155</v>
      </c>
      <c r="B71" s="24" t="n">
        <v>0.15</v>
      </c>
      <c r="C71" s="8" t="s">
        <v>156</v>
      </c>
      <c r="D71" s="20" t="s">
        <v>157</v>
      </c>
    </row>
    <row r="72" customFormat="false" ht="15" hidden="false" customHeight="false" outlineLevel="0" collapsed="false">
      <c r="A72" s="8" t="s">
        <v>158</v>
      </c>
      <c r="B72" s="24" t="n">
        <v>0.134</v>
      </c>
      <c r="C72" s="8" t="s">
        <v>159</v>
      </c>
      <c r="D72" s="20" t="s">
        <v>160</v>
      </c>
    </row>
    <row r="73" customFormat="false" ht="15" hidden="false" customHeight="false" outlineLevel="0" collapsed="false">
      <c r="A73" s="8" t="s">
        <v>161</v>
      </c>
      <c r="B73" s="22" t="n">
        <v>50</v>
      </c>
      <c r="C73" s="8" t="s">
        <v>162</v>
      </c>
      <c r="D73" s="20" t="s">
        <v>44</v>
      </c>
    </row>
    <row r="74" customFormat="false" ht="15" hidden="false" customHeight="false" outlineLevel="0" collapsed="false">
      <c r="A74" s="8" t="s">
        <v>163</v>
      </c>
      <c r="B74" s="24" t="n">
        <v>0.1</v>
      </c>
      <c r="C74" s="8" t="s">
        <v>124</v>
      </c>
      <c r="D74" s="20" t="s">
        <v>125</v>
      </c>
    </row>
  </sheetData>
  <dataValidations count="1">
    <dataValidation allowBlank="false" errorStyle="stop" operator="between" showDropDown="false" showErrorMessage="false" showInputMessage="false" sqref="B27" type="list">
      <formula1>"Introductoria (2026),Estandar (2027)"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22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5" t="s">
        <v>164</v>
      </c>
    </row>
    <row r="2" customFormat="false" ht="15" hidden="false" customHeight="false" outlineLevel="0" collapsed="false">
      <c r="A2" s="2" t="s">
        <v>165</v>
      </c>
    </row>
    <row r="4" customFormat="false" ht="31.5" hidden="false" customHeight="true" outlineLevel="0" collapsed="false">
      <c r="A4" s="7" t="s">
        <v>34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166</v>
      </c>
    </row>
    <row r="5" customFormat="false" ht="15" hidden="false" customHeight="false" outlineLevel="0" collapsed="false">
      <c r="A5" s="17" t="s">
        <v>167</v>
      </c>
      <c r="B5" s="18"/>
      <c r="C5" s="18"/>
      <c r="D5" s="18"/>
      <c r="E5" s="18"/>
      <c r="F5" s="18"/>
    </row>
    <row r="6" customFormat="false" ht="15" hidden="false" customHeight="false" outlineLevel="0" collapsed="false">
      <c r="A6" s="8" t="s">
        <v>168</v>
      </c>
      <c r="B6" s="11" t="n">
        <f aca="false">Supuestos!$B$6</f>
        <v>10000</v>
      </c>
      <c r="C6" s="11" t="n">
        <f aca="false">Supuestos!$B$6</f>
        <v>10000</v>
      </c>
      <c r="D6" s="11" t="n">
        <f aca="false">Supuestos!$B$6</f>
        <v>10000</v>
      </c>
      <c r="E6" s="11" t="n">
        <f aca="false">Supuestos!$B$6</f>
        <v>10000</v>
      </c>
      <c r="F6" s="31"/>
    </row>
    <row r="7" customFormat="false" ht="15" hidden="false" customHeight="false" outlineLevel="0" collapsed="false">
      <c r="A7" s="8" t="s">
        <v>63</v>
      </c>
      <c r="B7" s="23" t="n">
        <f aca="false">Supuestos!$B$20*Supuestos!$B$23*1</f>
        <v>4336.5</v>
      </c>
      <c r="C7" s="23" t="n">
        <f aca="false">Supuestos!$B$20*Supuestos!$B$23*Supuestos!$B$48</f>
        <v>6938.4</v>
      </c>
      <c r="D7" s="23" t="n">
        <f aca="false">Supuestos!$B$20*Supuestos!$B$23*1</f>
        <v>4336.5</v>
      </c>
      <c r="E7" s="23" t="n">
        <f aca="false">Supuestos!$B$20*Supuestos!$B$23*1</f>
        <v>4336.5</v>
      </c>
      <c r="F7" s="31" t="s">
        <v>169</v>
      </c>
    </row>
    <row r="8" customFormat="false" ht="15" hidden="false" customHeight="false" outlineLevel="0" collapsed="false">
      <c r="A8" s="8" t="s">
        <v>65</v>
      </c>
      <c r="B8" s="23" t="n">
        <f aca="false">(Supuestos!$B$21+Supuestos!$B$22*Supuestos!$B$24)*Supuestos!$B$23*1</f>
        <v>225.75</v>
      </c>
      <c r="C8" s="23" t="n">
        <f aca="false">(Supuestos!$B$21+Supuestos!$B$22*Supuestos!$B$24)*Supuestos!$B$23*Supuestos!$B$48</f>
        <v>361.2</v>
      </c>
      <c r="D8" s="23" t="n">
        <f aca="false">Supuestos!$B$21*Supuestos!$B$23</f>
        <v>225.75</v>
      </c>
      <c r="E8" s="23" t="n">
        <f aca="false">Supuestos!$B$21*Supuestos!$B$23</f>
        <v>225.75</v>
      </c>
      <c r="F8" s="31" t="s">
        <v>170</v>
      </c>
    </row>
    <row r="9" customFormat="false" ht="15" hidden="false" customHeight="false" outlineLevel="0" collapsed="false">
      <c r="A9" s="8" t="s">
        <v>171</v>
      </c>
      <c r="B9" s="32" t="n">
        <f aca="false">B6*(B7+B8)/1000000</f>
        <v>45.6225</v>
      </c>
      <c r="C9" s="32" t="n">
        <f aca="false">C6*(C7+C8)/1000000</f>
        <v>72.996</v>
      </c>
      <c r="D9" s="32" t="n">
        <f aca="false">D6*(D7+D8)/1000000</f>
        <v>45.6225</v>
      </c>
      <c r="E9" s="32" t="n">
        <f aca="false">E6*(E7+E8)/1000000</f>
        <v>45.6225</v>
      </c>
      <c r="F9" s="31"/>
    </row>
    <row r="10" customFormat="false" ht="15" hidden="false" customHeight="false" outlineLevel="0" collapsed="false">
      <c r="A10" s="8" t="s">
        <v>172</v>
      </c>
      <c r="B10" s="33" t="n">
        <f aca="false">Supuestos!$B$32</f>
        <v>1.5</v>
      </c>
      <c r="C10" s="33" t="n">
        <f aca="false">Supuestos!$B$32</f>
        <v>1.5</v>
      </c>
      <c r="D10" s="34" t="n">
        <f aca="false">0</f>
        <v>0</v>
      </c>
      <c r="E10" s="34" t="n">
        <f aca="false">0</f>
        <v>0</v>
      </c>
      <c r="F10" s="31" t="s">
        <v>173</v>
      </c>
    </row>
    <row r="11" customFormat="false" ht="15" hidden="false" customHeight="false" outlineLevel="0" collapsed="false">
      <c r="A11" s="8" t="s">
        <v>174</v>
      </c>
      <c r="B11" s="33" t="n">
        <f aca="false">Supuestos!$B$33</f>
        <v>7.5</v>
      </c>
      <c r="C11" s="33" t="n">
        <f aca="false">Supuestos!$B$33</f>
        <v>7.5</v>
      </c>
      <c r="D11" s="34" t="n">
        <f aca="false">0</f>
        <v>0</v>
      </c>
      <c r="E11" s="34" t="n">
        <f aca="false">0</f>
        <v>0</v>
      </c>
      <c r="F11" s="31"/>
    </row>
    <row r="12" customFormat="false" ht="15" hidden="false" customHeight="false" outlineLevel="0" collapsed="false">
      <c r="A12" s="35" t="s">
        <v>175</v>
      </c>
      <c r="B12" s="36" t="n">
        <f aca="false">B6*B7/1000000*B10+B6*B8/1000000*B11</f>
        <v>81.97875</v>
      </c>
      <c r="C12" s="36" t="n">
        <f aca="false">C6*C7/1000000*C10+C6*C8/1000000*C11</f>
        <v>131.166</v>
      </c>
      <c r="D12" s="36" t="n">
        <f aca="false">D6*D7/1000000*D10+D6*D8/1000000*D11</f>
        <v>0</v>
      </c>
      <c r="E12" s="36" t="n">
        <f aca="false">E6*E7/1000000*E10+E6*E8/1000000*E11</f>
        <v>0</v>
      </c>
      <c r="F12" s="31"/>
    </row>
    <row r="13" customFormat="false" ht="15" hidden="false" customHeight="false" outlineLevel="0" collapsed="false">
      <c r="A13" s="17" t="s">
        <v>176</v>
      </c>
      <c r="B13" s="18"/>
      <c r="C13" s="18"/>
      <c r="D13" s="18"/>
      <c r="E13" s="18"/>
      <c r="F13" s="18"/>
    </row>
    <row r="14" customFormat="false" ht="15" hidden="false" customHeight="false" outlineLevel="0" collapsed="false">
      <c r="A14" s="8" t="s">
        <v>177</v>
      </c>
      <c r="B14" s="37" t="n">
        <f aca="false">Supuestos!$B$36</f>
        <v>10</v>
      </c>
      <c r="C14" s="32" t="n">
        <f aca="false">Supuestos!$B$36*Supuestos!$B$49</f>
        <v>16</v>
      </c>
      <c r="D14" s="37" t="n">
        <f aca="false">Supuestos!$B$64</f>
        <v>45</v>
      </c>
      <c r="E14" s="37" t="n">
        <f aca="false">Supuestos!$B$64</f>
        <v>45</v>
      </c>
      <c r="F14" s="31" t="s">
        <v>178</v>
      </c>
    </row>
    <row r="15" customFormat="false" ht="15" hidden="false" customHeight="false" outlineLevel="0" collapsed="false">
      <c r="A15" s="8" t="s">
        <v>179</v>
      </c>
      <c r="B15" s="11" t="n">
        <f aca="false">Supuestos!$B$39</f>
        <v>0</v>
      </c>
      <c r="C15" s="11" t="n">
        <f aca="false">Supuestos!$B$39</f>
        <v>0</v>
      </c>
      <c r="D15" s="23" t="n">
        <f aca="false">MAX(1,ROUNDUP(Supuestos!$B$6*Supuestos!$B$64/3600/(Supuestos!$B$66*Supuestos!$B$65),0))</f>
        <v>1</v>
      </c>
      <c r="E15" s="23" t="n">
        <f aca="false">MAX(1,ROUNDUP(Supuestos!$B$6*Supuestos!$B$64/3600/(Supuestos!$B$66*Supuestos!$B$65),0))</f>
        <v>1</v>
      </c>
      <c r="F15" s="31" t="s">
        <v>180</v>
      </c>
    </row>
    <row r="16" customFormat="false" ht="15" hidden="false" customHeight="false" outlineLevel="0" collapsed="false">
      <c r="A16" s="8" t="s">
        <v>181</v>
      </c>
      <c r="B16" s="38" t="n">
        <f aca="false">0</f>
        <v>0</v>
      </c>
      <c r="C16" s="38" t="n">
        <f aca="false">0</f>
        <v>0</v>
      </c>
      <c r="D16" s="38" t="n">
        <f aca="false">Supuestos!$B$6*D14/3600/(D15*Supuestos!$B$66)</f>
        <v>0.171232876712329</v>
      </c>
      <c r="E16" s="38" t="n">
        <f aca="false">Supuestos!$B$6*E14/3600/(E15*Supuestos!$B$66)</f>
        <v>0.171232876712329</v>
      </c>
      <c r="F16" s="31" t="s">
        <v>182</v>
      </c>
    </row>
    <row r="17" customFormat="false" ht="15" hidden="false" customHeight="false" outlineLevel="0" collapsed="false">
      <c r="A17" s="8" t="s">
        <v>183</v>
      </c>
      <c r="B17" s="23" t="n">
        <f aca="false">MAX(0,Supuestos!$B$6*B14*Supuestos!$B$37+Supuestos!$B$39*Supuestos!$B$37*2592000-Supuestos!$B$43)</f>
        <v>0</v>
      </c>
      <c r="C17" s="23" t="n">
        <f aca="false">MAX(0,Supuestos!$B$6*C14*Supuestos!$B$37+Supuestos!$B$39*Supuestos!$B$37*2592000-Supuestos!$B$43)</f>
        <v>0</v>
      </c>
      <c r="D17" s="23" t="n">
        <f aca="false">0</f>
        <v>0</v>
      </c>
      <c r="E17" s="23" t="n">
        <f aca="false">0</f>
        <v>0</v>
      </c>
      <c r="F17" s="31" t="s">
        <v>184</v>
      </c>
    </row>
    <row r="18" customFormat="false" ht="15" hidden="false" customHeight="false" outlineLevel="0" collapsed="false">
      <c r="A18" s="8" t="s">
        <v>185</v>
      </c>
      <c r="B18" s="23" t="n">
        <f aca="false">MAX(0,Supuestos!$B$6*B14*Supuestos!$B$38+Supuestos!$B$39*Supuestos!$B$38*2592000-Supuestos!$B$44)</f>
        <v>0</v>
      </c>
      <c r="C18" s="23" t="n">
        <f aca="false">MAX(0,Supuestos!$B$6*C14*Supuestos!$B$38+Supuestos!$B$39*Supuestos!$B$38*2592000-Supuestos!$B$44)</f>
        <v>0</v>
      </c>
      <c r="D18" s="23" t="n">
        <f aca="false">0</f>
        <v>0</v>
      </c>
      <c r="E18" s="23" t="n">
        <f aca="false">0</f>
        <v>0</v>
      </c>
      <c r="F18" s="31"/>
    </row>
    <row r="19" customFormat="false" ht="15" hidden="false" customHeight="false" outlineLevel="0" collapsed="false">
      <c r="A19" s="8" t="s">
        <v>186</v>
      </c>
      <c r="B19" s="23" t="n">
        <f aca="false">MAX(0,Supuestos!$B$6*Supuestos!$B$9-Supuestos!$B$45)</f>
        <v>0</v>
      </c>
      <c r="C19" s="23" t="n">
        <f aca="false">MAX(0,Supuestos!$B$6*Supuestos!$B$9-Supuestos!$B$45)</f>
        <v>0</v>
      </c>
      <c r="D19" s="23" t="n">
        <f aca="false">0</f>
        <v>0</v>
      </c>
      <c r="E19" s="23" t="n">
        <f aca="false">0</f>
        <v>0</v>
      </c>
      <c r="F19" s="31"/>
    </row>
    <row r="20" customFormat="false" ht="15" hidden="false" customHeight="false" outlineLevel="0" collapsed="false">
      <c r="A20" s="8" t="s">
        <v>187</v>
      </c>
      <c r="B20" s="14" t="n">
        <f aca="false">B17*Supuestos!$B$40+B18*Supuestos!$B$41+B19/1000000*Supuestos!$B$42</f>
        <v>0</v>
      </c>
      <c r="C20" s="14" t="n">
        <f aca="false">C17*Supuestos!$B$40+C18*Supuestos!$B$41+C19/1000000*Supuestos!$B$42</f>
        <v>0</v>
      </c>
      <c r="D20" s="14" t="n">
        <f aca="false">0</f>
        <v>0</v>
      </c>
      <c r="E20" s="14" t="n">
        <f aca="false">0</f>
        <v>0</v>
      </c>
      <c r="F20" s="31"/>
    </row>
    <row r="21" customFormat="false" ht="15" hidden="false" customHeight="false" outlineLevel="0" collapsed="false">
      <c r="A21" s="8" t="s">
        <v>188</v>
      </c>
      <c r="B21" s="14" t="n">
        <f aca="false">0</f>
        <v>0</v>
      </c>
      <c r="C21" s="14" t="n">
        <f aca="false">0</f>
        <v>0</v>
      </c>
      <c r="D21" s="14" t="n">
        <f aca="false">D15*Supuestos!$B$67/Supuestos!$B$68</f>
        <v>33.3333333333333</v>
      </c>
      <c r="E21" s="14" t="n">
        <f aca="false">E15*Supuestos!$B$72*Supuestos!$B$66</f>
        <v>97.82</v>
      </c>
      <c r="F21" s="31" t="s">
        <v>189</v>
      </c>
    </row>
    <row r="22" customFormat="false" ht="15" hidden="false" customHeight="false" outlineLevel="0" collapsed="false">
      <c r="A22" s="8" t="s">
        <v>190</v>
      </c>
      <c r="B22" s="14" t="n">
        <f aca="false">0</f>
        <v>0</v>
      </c>
      <c r="C22" s="14" t="n">
        <f aca="false">0</f>
        <v>0</v>
      </c>
      <c r="D22" s="14" t="n">
        <f aca="false">((Supuestos!$B$6*Supuestos!$B$64/3600)*Supuestos!$B$69+(D15*Supuestos!$B$66-(Supuestos!$B$6*Supuestos!$B$64/3600))*Supuestos!$B$70)/1000*Supuestos!$B$71</f>
        <v>2.58</v>
      </c>
      <c r="E22" s="14" t="n">
        <f aca="false">0</f>
        <v>0</v>
      </c>
      <c r="F22" s="31"/>
    </row>
    <row r="23" customFormat="false" ht="15" hidden="false" customHeight="false" outlineLevel="0" collapsed="false">
      <c r="A23" s="35" t="s">
        <v>191</v>
      </c>
      <c r="B23" s="36" t="n">
        <f aca="false">B20+B21+B22</f>
        <v>0</v>
      </c>
      <c r="C23" s="36" t="n">
        <f aca="false">C20+C21+C22</f>
        <v>0</v>
      </c>
      <c r="D23" s="36" t="n">
        <f aca="false">D20+D21+D22</f>
        <v>35.9133333333333</v>
      </c>
      <c r="E23" s="36" t="n">
        <f aca="false">E20+E21+E22</f>
        <v>97.82</v>
      </c>
      <c r="F23" s="31"/>
    </row>
    <row r="24" customFormat="false" ht="15" hidden="false" customHeight="false" outlineLevel="0" collapsed="false">
      <c r="A24" s="17" t="s">
        <v>192</v>
      </c>
      <c r="B24" s="18"/>
      <c r="C24" s="18"/>
      <c r="D24" s="18"/>
      <c r="E24" s="18"/>
      <c r="F24" s="18"/>
    </row>
    <row r="25" customFormat="false" ht="15" hidden="false" customHeight="false" outlineLevel="0" collapsed="false">
      <c r="A25" s="8" t="s">
        <v>193</v>
      </c>
      <c r="B25" s="32" t="n">
        <f aca="false">Supuestos!$B$6*(Supuestos!$B$8+0)*Supuestos!$B$7/1000000</f>
        <v>0.96</v>
      </c>
      <c r="C25" s="32" t="n">
        <f aca="false">Supuestos!$B$6*(Supuestos!$B$8+Supuestos!$B$50)*Supuestos!$B$7/1000000</f>
        <v>3.36</v>
      </c>
      <c r="D25" s="32" t="n">
        <f aca="false">Supuestos!$B$6*(Supuestos!$B$8+0)*Supuestos!$B$7/1000000</f>
        <v>0.96</v>
      </c>
      <c r="E25" s="32" t="n">
        <f aca="false">Supuestos!$B$6*(Supuestos!$B$8+0)*Supuestos!$B$7/1000000</f>
        <v>0.96</v>
      </c>
      <c r="F25" s="31" t="s">
        <v>194</v>
      </c>
    </row>
    <row r="26" customFormat="false" ht="15" hidden="false" customHeight="false" outlineLevel="0" collapsed="false">
      <c r="A26" s="8" t="s">
        <v>195</v>
      </c>
      <c r="B26" s="39" t="n">
        <f aca="false">Supuestos!$B$6*Supuestos!$B$11*1/1000000</f>
        <v>0.04</v>
      </c>
      <c r="C26" s="39" t="n">
        <f aca="false">Supuestos!$B$6*Supuestos!$B$11*Supuestos!$B$51/1000000</f>
        <v>0.08</v>
      </c>
      <c r="D26" s="39" t="n">
        <f aca="false">Supuestos!$B$6*Supuestos!$B$11*1/1000000</f>
        <v>0.04</v>
      </c>
      <c r="E26" s="39" t="n">
        <f aca="false">Supuestos!$B$6*Supuestos!$B$11*1/1000000</f>
        <v>0.04</v>
      </c>
      <c r="F26" s="31"/>
    </row>
    <row r="27" customFormat="false" ht="15" hidden="false" customHeight="false" outlineLevel="0" collapsed="false">
      <c r="A27" s="8" t="s">
        <v>196</v>
      </c>
      <c r="B27" s="14" t="n">
        <f aca="false">Supuestos!$B$54+B25*Supuestos!$B$55</f>
        <v>10.1632</v>
      </c>
      <c r="C27" s="14" t="n">
        <f aca="false">Supuestos!$B$54+C25*Supuestos!$B$55</f>
        <v>10.5712</v>
      </c>
      <c r="D27" s="14" t="n">
        <f aca="false">0</f>
        <v>0</v>
      </c>
      <c r="E27" s="14" t="n">
        <f aca="false">(Supuestos!$B$73+E25)*Supuestos!$B$74</f>
        <v>5.096</v>
      </c>
      <c r="F27" s="31" t="s">
        <v>197</v>
      </c>
    </row>
    <row r="28" customFormat="false" ht="15" hidden="false" customHeight="false" outlineLevel="0" collapsed="false">
      <c r="A28" s="8" t="s">
        <v>198</v>
      </c>
      <c r="B28" s="14" t="n">
        <f aca="false">MAX(0,B26-Supuestos!$B$57)*Supuestos!$B$56</f>
        <v>0</v>
      </c>
      <c r="C28" s="14" t="n">
        <f aca="false">MAX(0,C26-Supuestos!$B$57)*Supuestos!$B$56</f>
        <v>0</v>
      </c>
      <c r="D28" s="14" t="n">
        <f aca="false">0</f>
        <v>0</v>
      </c>
      <c r="E28" s="14" t="n">
        <f aca="false">0</f>
        <v>0</v>
      </c>
      <c r="F28" s="31" t="s">
        <v>199</v>
      </c>
    </row>
    <row r="29" customFormat="false" ht="15" hidden="false" customHeight="false" outlineLevel="0" collapsed="false">
      <c r="A29" s="35" t="s">
        <v>200</v>
      </c>
      <c r="B29" s="36" t="n">
        <f aca="false">B27+B28</f>
        <v>10.1632</v>
      </c>
      <c r="C29" s="36" t="n">
        <f aca="false">C27+C28</f>
        <v>10.5712</v>
      </c>
      <c r="D29" s="36" t="n">
        <f aca="false">D27+D28</f>
        <v>0</v>
      </c>
      <c r="E29" s="36" t="n">
        <f aca="false">E27+E28</f>
        <v>5.096</v>
      </c>
      <c r="F29" s="31"/>
    </row>
    <row r="30" customFormat="false" ht="15" hidden="false" customHeight="false" outlineLevel="0" collapsed="false">
      <c r="A30" s="17" t="s">
        <v>201</v>
      </c>
      <c r="B30" s="18"/>
      <c r="C30" s="18"/>
      <c r="D30" s="18"/>
      <c r="E30" s="18"/>
      <c r="F30" s="18"/>
    </row>
    <row r="31" customFormat="false" ht="15" hidden="false" customHeight="false" outlineLevel="0" collapsed="false">
      <c r="A31" s="8" t="s">
        <v>202</v>
      </c>
      <c r="B31" s="39" t="n">
        <f aca="false">Supuestos!$B$6*Supuestos!$B$10/1000000</f>
        <v>0.4</v>
      </c>
      <c r="C31" s="39" t="n">
        <f aca="false">Supuestos!$B$6*Supuestos!$B$10/1000000</f>
        <v>0.4</v>
      </c>
      <c r="D31" s="39" t="n">
        <f aca="false">Supuestos!$B$6*Supuestos!$B$10/1000000</f>
        <v>0.4</v>
      </c>
      <c r="E31" s="39" t="n">
        <f aca="false">Supuestos!$B$6*Supuestos!$B$10/1000000</f>
        <v>0.4</v>
      </c>
      <c r="F31" s="31"/>
    </row>
    <row r="32" customFormat="false" ht="15" hidden="false" customHeight="false" outlineLevel="0" collapsed="false">
      <c r="A32" s="35" t="s">
        <v>203</v>
      </c>
      <c r="B32" s="36" t="n">
        <f aca="false">MAX(0,B31-Supuestos!$B$61)*Supuestos!$B$60</f>
        <v>0.048</v>
      </c>
      <c r="C32" s="36" t="n">
        <f aca="false">MAX(0,C31-Supuestos!$B$61)*Supuestos!$B$60</f>
        <v>0.048</v>
      </c>
      <c r="D32" s="36" t="n">
        <f aca="false">0</f>
        <v>0</v>
      </c>
      <c r="E32" s="36" t="n">
        <f aca="false">MAX(0,E31-Supuestos!$B$61)*Supuestos!$B$60</f>
        <v>0.048</v>
      </c>
      <c r="F32" s="31" t="s">
        <v>204</v>
      </c>
    </row>
    <row r="33" customFormat="false" ht="15" hidden="false" customHeight="false" outlineLevel="0" collapsed="false">
      <c r="A33" s="17" t="s">
        <v>205</v>
      </c>
      <c r="B33" s="18"/>
      <c r="C33" s="18"/>
      <c r="D33" s="18"/>
      <c r="E33" s="18"/>
      <c r="F33" s="18"/>
    </row>
    <row r="34" customFormat="false" ht="15" hidden="false" customHeight="false" outlineLevel="0" collapsed="false">
      <c r="A34" s="35" t="s">
        <v>206</v>
      </c>
      <c r="B34" s="36" t="n">
        <f aca="false">Supuestos!$B$58*Supuestos!$B$59</f>
        <v>0.24</v>
      </c>
      <c r="C34" s="36" t="n">
        <f aca="false">Supuestos!$B$58*Supuestos!$B$59</f>
        <v>0.24</v>
      </c>
      <c r="D34" s="36" t="n">
        <f aca="false">0</f>
        <v>0</v>
      </c>
      <c r="E34" s="36" t="n">
        <f aca="false">0</f>
        <v>0</v>
      </c>
      <c r="F34" s="31" t="s">
        <v>207</v>
      </c>
    </row>
    <row r="35" customFormat="false" ht="15" hidden="false" customHeight="false" outlineLevel="0" collapsed="false">
      <c r="A35" s="17" t="s">
        <v>208</v>
      </c>
      <c r="B35" s="18"/>
      <c r="C35" s="18"/>
      <c r="D35" s="18"/>
      <c r="E35" s="18"/>
      <c r="F35" s="18"/>
    </row>
    <row r="36" customFormat="false" ht="15" hidden="false" customHeight="false" outlineLevel="0" collapsed="false">
      <c r="A36" s="35" t="s">
        <v>209</v>
      </c>
      <c r="B36" s="40" t="n">
        <f aca="false">B12+B23+B29+B32+B34</f>
        <v>92.42995</v>
      </c>
      <c r="C36" s="40" t="n">
        <f aca="false">C12+C23+C29+C32+C34</f>
        <v>142.0252</v>
      </c>
      <c r="D36" s="40" t="n">
        <f aca="false">D12+D23+D29+D32+D34</f>
        <v>35.9133333333333</v>
      </c>
      <c r="E36" s="40" t="n">
        <f aca="false">E12+E23+E29+E32+E34</f>
        <v>102.964</v>
      </c>
      <c r="F36" s="31"/>
    </row>
    <row r="37" customFormat="false" ht="15" hidden="false" customHeight="false" outlineLevel="0" collapsed="false">
      <c r="A37" s="8" t="s">
        <v>210</v>
      </c>
      <c r="B37" s="41" t="n">
        <f aca="false">IF(B6=0,0,B36/B6)</f>
        <v>0.009242995</v>
      </c>
      <c r="C37" s="41" t="n">
        <f aca="false">IF(C6=0,0,C36/C6)</f>
        <v>0.01420252</v>
      </c>
      <c r="D37" s="41" t="n">
        <f aca="false">IF(D6=0,0,D36/D6)</f>
        <v>0.00359133333333333</v>
      </c>
      <c r="E37" s="41" t="n">
        <f aca="false">IF(E6=0,0,E36/E6)</f>
        <v>0.0102964</v>
      </c>
      <c r="F37" s="31"/>
    </row>
    <row r="38" customFormat="false" ht="15" hidden="false" customHeight="false" outlineLevel="0" collapsed="false">
      <c r="A38" s="8" t="s">
        <v>211</v>
      </c>
      <c r="B38" s="14" t="n">
        <f aca="false">B37*1000</f>
        <v>9.242995</v>
      </c>
      <c r="C38" s="14" t="n">
        <f aca="false">C37*1000</f>
        <v>14.20252</v>
      </c>
      <c r="D38" s="14" t="n">
        <f aca="false">D37*1000</f>
        <v>3.59133333333333</v>
      </c>
      <c r="E38" s="14" t="n">
        <f aca="false">E37*1000</f>
        <v>10.2964</v>
      </c>
      <c r="F38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10" min="3" style="0" width="20"/>
  </cols>
  <sheetData>
    <row r="1" customFormat="false" ht="17.35" hidden="false" customHeight="false" outlineLevel="0" collapsed="false">
      <c r="A1" s="15" t="s">
        <v>212</v>
      </c>
    </row>
    <row r="2" customFormat="false" ht="15" hidden="false" customHeight="false" outlineLevel="0" collapsed="false">
      <c r="A2" s="2" t="s">
        <v>213</v>
      </c>
    </row>
    <row r="4" customFormat="false" ht="23.85" hidden="false" customHeight="false" outlineLevel="0" collapsed="false">
      <c r="A4" s="16" t="s">
        <v>214</v>
      </c>
      <c r="B4" s="7" t="s">
        <v>215</v>
      </c>
      <c r="C4" s="7" t="s">
        <v>216</v>
      </c>
      <c r="D4" s="7" t="s">
        <v>217</v>
      </c>
      <c r="E4" s="7" t="s">
        <v>218</v>
      </c>
    </row>
    <row r="5" customFormat="false" ht="15" hidden="false" customHeight="false" outlineLevel="0" collapsed="false">
      <c r="A5" s="22" t="n">
        <v>1000</v>
      </c>
      <c r="B5" s="14" t="n">
        <f aca="false">H16</f>
        <v>18.458995</v>
      </c>
      <c r="C5" s="14" t="n">
        <f aca="false">H17</f>
        <v>23.41852</v>
      </c>
      <c r="D5" s="14" t="n">
        <f aca="false">H18</f>
        <v>35.0695833333333</v>
      </c>
      <c r="E5" s="14" t="n">
        <f aca="false">H19</f>
        <v>102.8344</v>
      </c>
    </row>
    <row r="6" customFormat="false" ht="15" hidden="false" customHeight="false" outlineLevel="0" collapsed="false">
      <c r="A6" s="22" t="n">
        <v>5000</v>
      </c>
      <c r="B6" s="14" t="n">
        <f aca="false">H20</f>
        <v>51.334975</v>
      </c>
      <c r="C6" s="14" t="n">
        <f aca="false">H21</f>
        <v>76.1326</v>
      </c>
      <c r="D6" s="14" t="n">
        <f aca="false">H22</f>
        <v>35.4445833333333</v>
      </c>
      <c r="E6" s="14" t="n">
        <f aca="false">H23</f>
        <v>102.892</v>
      </c>
    </row>
    <row r="7" customFormat="false" ht="15" hidden="false" customHeight="false" outlineLevel="0" collapsed="false">
      <c r="A7" s="22" t="n">
        <v>10000</v>
      </c>
      <c r="B7" s="14" t="n">
        <f aca="false">H24</f>
        <v>92.42995</v>
      </c>
      <c r="C7" s="14" t="n">
        <f aca="false">H25</f>
        <v>142.0252</v>
      </c>
      <c r="D7" s="14" t="n">
        <f aca="false">H26</f>
        <v>35.9133333333333</v>
      </c>
      <c r="E7" s="14" t="n">
        <f aca="false">H27</f>
        <v>102.964</v>
      </c>
    </row>
    <row r="8" customFormat="false" ht="15" hidden="false" customHeight="false" outlineLevel="0" collapsed="false">
      <c r="A8" s="22" t="n">
        <v>50000</v>
      </c>
      <c r="B8" s="14" t="n">
        <f aca="false">H28</f>
        <v>429.21975</v>
      </c>
      <c r="C8" s="14" t="n">
        <f aca="false">H29</f>
        <v>685.146</v>
      </c>
      <c r="D8" s="14" t="n">
        <f aca="false">H30</f>
        <v>74.6391666666667</v>
      </c>
      <c r="E8" s="14" t="n">
        <f aca="false">H31</f>
        <v>201.36</v>
      </c>
    </row>
    <row r="9" customFormat="false" ht="15" hidden="false" customHeight="false" outlineLevel="0" collapsed="false">
      <c r="A9" s="22" t="n">
        <v>100000</v>
      </c>
      <c r="B9" s="14" t="n">
        <f aca="false">H32</f>
        <v>853.4195</v>
      </c>
      <c r="C9" s="14" t="n">
        <f aca="false">H33</f>
        <v>1365.272</v>
      </c>
      <c r="D9" s="14" t="n">
        <f aca="false">H34</f>
        <v>114.3025</v>
      </c>
      <c r="E9" s="14" t="n">
        <f aca="false">H35</f>
        <v>299.9</v>
      </c>
    </row>
    <row r="10" customFormat="false" ht="15" hidden="false" customHeight="false" outlineLevel="0" collapsed="false">
      <c r="A10" s="22" t="n">
        <v>500000</v>
      </c>
      <c r="B10" s="14" t="n">
        <f aca="false">H36</f>
        <v>4247.8175</v>
      </c>
      <c r="C10" s="14" t="n">
        <f aca="false">H37</f>
        <v>6807.08</v>
      </c>
      <c r="D10" s="14" t="n">
        <f aca="false">H38</f>
        <v>501.560833333333</v>
      </c>
      <c r="E10" s="14" t="n">
        <f aca="false">H39</f>
        <v>1283.86</v>
      </c>
    </row>
    <row r="11" customFormat="false" ht="15" hidden="false" customHeight="false" outlineLevel="0" collapsed="false">
      <c r="A11" s="11" t="n">
        <f aca="false">Supuestos!$B$6</f>
        <v>10000</v>
      </c>
      <c r="B11" s="14" t="n">
        <f aca="false">H40</f>
        <v>92.42995</v>
      </c>
      <c r="C11" s="14" t="n">
        <f aca="false">H41</f>
        <v>142.0252</v>
      </c>
      <c r="D11" s="14" t="n">
        <f aca="false">H42</f>
        <v>35.9133333333333</v>
      </c>
      <c r="E11" s="14" t="n">
        <f aca="false">H43</f>
        <v>102.964</v>
      </c>
      <c r="F11" s="2" t="s">
        <v>219</v>
      </c>
    </row>
    <row r="13" customFormat="false" ht="15" hidden="false" customHeight="false" outlineLevel="0" collapsed="false">
      <c r="A13" s="5" t="s">
        <v>220</v>
      </c>
    </row>
    <row r="14" customFormat="false" ht="15" hidden="false" customHeight="false" outlineLevel="0" collapsed="false">
      <c r="A14" s="2" t="s">
        <v>221</v>
      </c>
      <c r="D14" s="42" t="n">
        <f aca="false">ROUND(SUMPRODUCT(ABS(B11:E11-Costos!B36:E36)),6)</f>
        <v>0</v>
      </c>
    </row>
    <row r="15" customFormat="false" ht="15" hidden="false" customHeight="false" outlineLevel="0" collapsed="false">
      <c r="A15" s="7" t="s">
        <v>222</v>
      </c>
      <c r="B15" s="7" t="s">
        <v>7</v>
      </c>
      <c r="C15" s="7" t="s">
        <v>223</v>
      </c>
      <c r="D15" s="7" t="s">
        <v>224</v>
      </c>
      <c r="E15" s="7" t="s">
        <v>225</v>
      </c>
      <c r="F15" s="7" t="s">
        <v>226</v>
      </c>
      <c r="G15" s="7" t="s">
        <v>227</v>
      </c>
      <c r="H15" s="7" t="s">
        <v>228</v>
      </c>
      <c r="I15" s="7" t="s">
        <v>9</v>
      </c>
      <c r="J15" s="7" t="s">
        <v>11</v>
      </c>
    </row>
    <row r="16" customFormat="false" ht="15" hidden="false" customHeight="false" outlineLevel="0" collapsed="false">
      <c r="A16" s="23" t="n">
        <f aca="false">$A$5</f>
        <v>1000</v>
      </c>
      <c r="B16" s="8" t="s">
        <v>12</v>
      </c>
      <c r="C16" s="14" t="n">
        <f aca="false">$A16*(Supuestos!$B$20*Supuestos!$B$23*1)/1000000*Supuestos!$B$32+$A16*((Supuestos!$B$21+Supuestos!$B$22*Supuestos!$B$24)*Supuestos!$B$23*1)/1000000*Supuestos!$B$33</f>
        <v>8.197875</v>
      </c>
      <c r="D16" s="14" t="n">
        <f aca="false">MAX(0,$A16*Supuestos!$B$36*1*Supuestos!$B$37+Supuestos!$B$39*Supuestos!$B$37*2592000-Supuestos!$B$43)*Supuestos!$B$40+MAX(0,$A16*Supuestos!$B$36*1*Supuestos!$B$38+Supuestos!$B$39*Supuestos!$B$38*2592000-Supuestos!$B$44)*Supuestos!$B$41+MAX(0,$A16*Supuestos!$B$9-Supuestos!$B$45)/1000000*Supuestos!$B$42</f>
        <v>0</v>
      </c>
      <c r="E16" s="14" t="n">
        <f aca="false">Supuestos!$B$54+$A16*(Supuestos!$B$8+0)*Supuestos!$B$7/1000000*Supuestos!$B$55+MAX(0,$A16*Supuestos!$B$11*1/1000000-Supuestos!$B$57)*Supuestos!$B$56</f>
        <v>10.01632</v>
      </c>
      <c r="F16" s="14" t="n">
        <f aca="false">MAX(0,$A16*Supuestos!$B$10/1000000-Supuestos!$B$61)*Supuestos!$B$60</f>
        <v>0.0048</v>
      </c>
      <c r="G16" s="14" t="n">
        <f aca="false">Supuestos!$B$58*Supuestos!$B$59</f>
        <v>0.24</v>
      </c>
      <c r="H16" s="36" t="n">
        <f aca="false">SUM(C16:G16)</f>
        <v>18.458995</v>
      </c>
      <c r="I16" s="43" t="n">
        <f aca="false">IF(A16=0,0,H16/A16)</f>
        <v>0.018458995</v>
      </c>
      <c r="J16" s="23" t="n">
        <f aca="false">Supuestos!$B$39</f>
        <v>0</v>
      </c>
    </row>
    <row r="17" customFormat="false" ht="15" hidden="false" customHeight="false" outlineLevel="0" collapsed="false">
      <c r="A17" s="23" t="n">
        <f aca="false">$A$5</f>
        <v>1000</v>
      </c>
      <c r="B17" s="8" t="s">
        <v>13</v>
      </c>
      <c r="C17" s="14" t="n">
        <f aca="false">$A17*(Supuestos!$B$20*Supuestos!$B$23*Supuestos!$B$48)/1000000*Supuestos!$B$32+$A17*((Supuestos!$B$21+Supuestos!$B$22*Supuestos!$B$24)*Supuestos!$B$23*Supuestos!$B$48)/1000000*Supuestos!$B$33</f>
        <v>13.1166</v>
      </c>
      <c r="D17" s="14" t="n">
        <f aca="false">MAX(0,$A17*Supuestos!$B$36*Supuestos!$B$49*Supuestos!$B$37+Supuestos!$B$39*Supuestos!$B$37*2592000-Supuestos!$B$43)*Supuestos!$B$40+MAX(0,$A17*Supuestos!$B$36*Supuestos!$B$49*Supuestos!$B$38+Supuestos!$B$39*Supuestos!$B$38*2592000-Supuestos!$B$44)*Supuestos!$B$41+MAX(0,$A17*Supuestos!$B$9-Supuestos!$B$45)/1000000*Supuestos!$B$42</f>
        <v>0</v>
      </c>
      <c r="E17" s="14" t="n">
        <f aca="false">Supuestos!$B$54+$A17*(Supuestos!$B$8+Supuestos!$B$50)*Supuestos!$B$7/1000000*Supuestos!$B$55+MAX(0,$A17*Supuestos!$B$11*Supuestos!$B$51/1000000-Supuestos!$B$57)*Supuestos!$B$56</f>
        <v>10.05712</v>
      </c>
      <c r="F17" s="14" t="n">
        <f aca="false">MAX(0,$A17*Supuestos!$B$10/1000000-Supuestos!$B$61)*Supuestos!$B$60</f>
        <v>0.0048</v>
      </c>
      <c r="G17" s="14" t="n">
        <f aca="false">Supuestos!$B$58*Supuestos!$B$59</f>
        <v>0.24</v>
      </c>
      <c r="H17" s="36" t="n">
        <f aca="false">SUM(C17:G17)</f>
        <v>23.41852</v>
      </c>
      <c r="I17" s="43" t="n">
        <f aca="false">IF(A17=0,0,H17/A17)</f>
        <v>0.02341852</v>
      </c>
      <c r="J17" s="23" t="n">
        <f aca="false">Supuestos!$B$39</f>
        <v>0</v>
      </c>
    </row>
    <row r="18" customFormat="false" ht="15" hidden="false" customHeight="false" outlineLevel="0" collapsed="false">
      <c r="A18" s="23" t="n">
        <f aca="false">$A$5</f>
        <v>1000</v>
      </c>
      <c r="B18" s="8" t="s">
        <v>14</v>
      </c>
      <c r="C18" s="14" t="n">
        <f aca="false">0</f>
        <v>0</v>
      </c>
      <c r="D18" s="14" t="n">
        <f aca="false">MAX(1,ROUNDUP($A18*Supuestos!$B$64/3600/(Supuestos!$B$66*Supuestos!$B$65),0))*Supuestos!$B$67/Supuestos!$B$68+(($A18*Supuestos!$B$64/3600)*Supuestos!$B$69+(MAX(1,ROUNDUP($A18*Supuestos!$B$64/3600/(Supuestos!$B$66*Supuestos!$B$65),0))*Supuestos!$B$66-($A18*Supuestos!$B$64/3600))*Supuestos!$B$70)/1000*Supuestos!$B$71</f>
        <v>35.0695833333333</v>
      </c>
      <c r="E18" s="14" t="n">
        <f aca="false">0</f>
        <v>0</v>
      </c>
      <c r="F18" s="14" t="n">
        <f aca="false">0</f>
        <v>0</v>
      </c>
      <c r="G18" s="14" t="n">
        <f aca="false">0</f>
        <v>0</v>
      </c>
      <c r="H18" s="36" t="n">
        <f aca="false">SUM(C18:G18)</f>
        <v>35.0695833333333</v>
      </c>
      <c r="I18" s="43" t="n">
        <f aca="false">IF(A18=0,0,H18/A18)</f>
        <v>0.0350695833333333</v>
      </c>
      <c r="J18" s="23" t="n">
        <f aca="false">MAX(1,ROUNDUP($A18*Supuestos!$B$64/3600/(Supuestos!$B$66*Supuestos!$B$65),0))</f>
        <v>1</v>
      </c>
    </row>
    <row r="19" customFormat="false" ht="15" hidden="false" customHeight="false" outlineLevel="0" collapsed="false">
      <c r="A19" s="23" t="n">
        <f aca="false">$A$5</f>
        <v>1000</v>
      </c>
      <c r="B19" s="8" t="s">
        <v>15</v>
      </c>
      <c r="C19" s="14" t="n">
        <f aca="false">0</f>
        <v>0</v>
      </c>
      <c r="D19" s="14" t="n">
        <f aca="false">MAX(1,ROUNDUP($A19*Supuestos!$B$64/3600/(Supuestos!$B$66*Supuestos!$B$65),0))*Supuestos!$B$72*Supuestos!$B$66</f>
        <v>97.82</v>
      </c>
      <c r="E19" s="14" t="n">
        <f aca="false">(Supuestos!$B$73+$A19*Supuestos!$B$8*Supuestos!$B$7/1000000)*Supuestos!$B$74</f>
        <v>5.0096</v>
      </c>
      <c r="F19" s="14" t="n">
        <f aca="false">MAX(0,$A19*Supuestos!$B$10/1000000-Supuestos!$B$61)*Supuestos!$B$60</f>
        <v>0.0048</v>
      </c>
      <c r="G19" s="14" t="n">
        <f aca="false">0</f>
        <v>0</v>
      </c>
      <c r="H19" s="36" t="n">
        <f aca="false">SUM(C19:G19)</f>
        <v>102.8344</v>
      </c>
      <c r="I19" s="43" t="n">
        <f aca="false">IF(A19=0,0,H19/A19)</f>
        <v>0.1028344</v>
      </c>
      <c r="J19" s="23" t="n">
        <f aca="false">MAX(1,ROUNDUP($A19*Supuestos!$B$64/3600/(Supuestos!$B$66*Supuestos!$B$65),0))</f>
        <v>1</v>
      </c>
    </row>
    <row r="20" customFormat="false" ht="15" hidden="false" customHeight="false" outlineLevel="0" collapsed="false">
      <c r="A20" s="23" t="n">
        <f aca="false">$A$6</f>
        <v>5000</v>
      </c>
      <c r="B20" s="8" t="s">
        <v>12</v>
      </c>
      <c r="C20" s="14" t="n">
        <f aca="false">$A20*(Supuestos!$B$20*Supuestos!$B$23*1)/1000000*Supuestos!$B$32+$A20*((Supuestos!$B$21+Supuestos!$B$22*Supuestos!$B$24)*Supuestos!$B$23*1)/1000000*Supuestos!$B$33</f>
        <v>40.989375</v>
      </c>
      <c r="D20" s="14" t="n">
        <f aca="false">MAX(0,$A20*Supuestos!$B$36*1*Supuestos!$B$37+Supuestos!$B$39*Supuestos!$B$37*2592000-Supuestos!$B$43)*Supuestos!$B$40+MAX(0,$A20*Supuestos!$B$36*1*Supuestos!$B$38+Supuestos!$B$39*Supuestos!$B$38*2592000-Supuestos!$B$44)*Supuestos!$B$41+MAX(0,$A20*Supuestos!$B$9-Supuestos!$B$45)/1000000*Supuestos!$B$42</f>
        <v>0</v>
      </c>
      <c r="E20" s="14" t="n">
        <f aca="false">Supuestos!$B$54+$A20*(Supuestos!$B$8+0)*Supuestos!$B$7/1000000*Supuestos!$B$55+MAX(0,$A20*Supuestos!$B$11*1/1000000-Supuestos!$B$57)*Supuestos!$B$56</f>
        <v>10.0816</v>
      </c>
      <c r="F20" s="14" t="n">
        <f aca="false">MAX(0,$A20*Supuestos!$B$10/1000000-Supuestos!$B$61)*Supuestos!$B$60</f>
        <v>0.024</v>
      </c>
      <c r="G20" s="14" t="n">
        <f aca="false">Supuestos!$B$58*Supuestos!$B$59</f>
        <v>0.24</v>
      </c>
      <c r="H20" s="36" t="n">
        <f aca="false">SUM(C20:G20)</f>
        <v>51.334975</v>
      </c>
      <c r="I20" s="43" t="n">
        <f aca="false">IF(A20=0,0,H20/A20)</f>
        <v>0.010266995</v>
      </c>
      <c r="J20" s="23" t="n">
        <f aca="false">Supuestos!$B$39</f>
        <v>0</v>
      </c>
    </row>
    <row r="21" customFormat="false" ht="15" hidden="false" customHeight="false" outlineLevel="0" collapsed="false">
      <c r="A21" s="23" t="n">
        <f aca="false">$A$6</f>
        <v>5000</v>
      </c>
      <c r="B21" s="8" t="s">
        <v>13</v>
      </c>
      <c r="C21" s="14" t="n">
        <f aca="false">$A21*(Supuestos!$B$20*Supuestos!$B$23*Supuestos!$B$48)/1000000*Supuestos!$B$32+$A21*((Supuestos!$B$21+Supuestos!$B$22*Supuestos!$B$24)*Supuestos!$B$23*Supuestos!$B$48)/1000000*Supuestos!$B$33</f>
        <v>65.583</v>
      </c>
      <c r="D21" s="14" t="n">
        <f aca="false">MAX(0,$A21*Supuestos!$B$36*Supuestos!$B$49*Supuestos!$B$37+Supuestos!$B$39*Supuestos!$B$37*2592000-Supuestos!$B$43)*Supuestos!$B$40+MAX(0,$A21*Supuestos!$B$36*Supuestos!$B$49*Supuestos!$B$38+Supuestos!$B$39*Supuestos!$B$38*2592000-Supuestos!$B$44)*Supuestos!$B$41+MAX(0,$A21*Supuestos!$B$9-Supuestos!$B$45)/1000000*Supuestos!$B$42</f>
        <v>0</v>
      </c>
      <c r="E21" s="14" t="n">
        <f aca="false">Supuestos!$B$54+$A21*(Supuestos!$B$8+Supuestos!$B$50)*Supuestos!$B$7/1000000*Supuestos!$B$55+MAX(0,$A21*Supuestos!$B$11*Supuestos!$B$51/1000000-Supuestos!$B$57)*Supuestos!$B$56</f>
        <v>10.2856</v>
      </c>
      <c r="F21" s="14" t="n">
        <f aca="false">MAX(0,$A21*Supuestos!$B$10/1000000-Supuestos!$B$61)*Supuestos!$B$60</f>
        <v>0.024</v>
      </c>
      <c r="G21" s="14" t="n">
        <f aca="false">Supuestos!$B$58*Supuestos!$B$59</f>
        <v>0.24</v>
      </c>
      <c r="H21" s="36" t="n">
        <f aca="false">SUM(C21:G21)</f>
        <v>76.1326</v>
      </c>
      <c r="I21" s="43" t="n">
        <f aca="false">IF(A21=0,0,H21/A21)</f>
        <v>0.01522652</v>
      </c>
      <c r="J21" s="23" t="n">
        <f aca="false">Supuestos!$B$39</f>
        <v>0</v>
      </c>
    </row>
    <row r="22" customFormat="false" ht="15" hidden="false" customHeight="false" outlineLevel="0" collapsed="false">
      <c r="A22" s="23" t="n">
        <f aca="false">$A$6</f>
        <v>5000</v>
      </c>
      <c r="B22" s="8" t="s">
        <v>14</v>
      </c>
      <c r="C22" s="14" t="n">
        <f aca="false">0</f>
        <v>0</v>
      </c>
      <c r="D22" s="14" t="n">
        <f aca="false">MAX(1,ROUNDUP($A22*Supuestos!$B$64/3600/(Supuestos!$B$66*Supuestos!$B$65),0))*Supuestos!$B$67/Supuestos!$B$68+(($A22*Supuestos!$B$64/3600)*Supuestos!$B$69+(MAX(1,ROUNDUP($A22*Supuestos!$B$64/3600/(Supuestos!$B$66*Supuestos!$B$65),0))*Supuestos!$B$66-($A22*Supuestos!$B$64/3600))*Supuestos!$B$70)/1000*Supuestos!$B$71</f>
        <v>35.4445833333333</v>
      </c>
      <c r="E22" s="14" t="n">
        <f aca="false">0</f>
        <v>0</v>
      </c>
      <c r="F22" s="14" t="n">
        <f aca="false">0</f>
        <v>0</v>
      </c>
      <c r="G22" s="14" t="n">
        <f aca="false">0</f>
        <v>0</v>
      </c>
      <c r="H22" s="36" t="n">
        <f aca="false">SUM(C22:G22)</f>
        <v>35.4445833333333</v>
      </c>
      <c r="I22" s="43" t="n">
        <f aca="false">IF(A22=0,0,H22/A22)</f>
        <v>0.00708891666666667</v>
      </c>
      <c r="J22" s="23" t="n">
        <f aca="false">MAX(1,ROUNDUP($A22*Supuestos!$B$64/3600/(Supuestos!$B$66*Supuestos!$B$65),0))</f>
        <v>1</v>
      </c>
    </row>
    <row r="23" customFormat="false" ht="15" hidden="false" customHeight="false" outlineLevel="0" collapsed="false">
      <c r="A23" s="23" t="n">
        <f aca="false">$A$6</f>
        <v>5000</v>
      </c>
      <c r="B23" s="8" t="s">
        <v>15</v>
      </c>
      <c r="C23" s="14" t="n">
        <f aca="false">0</f>
        <v>0</v>
      </c>
      <c r="D23" s="14" t="n">
        <f aca="false">MAX(1,ROUNDUP($A23*Supuestos!$B$64/3600/(Supuestos!$B$66*Supuestos!$B$65),0))*Supuestos!$B$72*Supuestos!$B$66</f>
        <v>97.82</v>
      </c>
      <c r="E23" s="14" t="n">
        <f aca="false">(Supuestos!$B$73+$A23*Supuestos!$B$8*Supuestos!$B$7/1000000)*Supuestos!$B$74</f>
        <v>5.048</v>
      </c>
      <c r="F23" s="14" t="n">
        <f aca="false">MAX(0,$A23*Supuestos!$B$10/1000000-Supuestos!$B$61)*Supuestos!$B$60</f>
        <v>0.024</v>
      </c>
      <c r="G23" s="14" t="n">
        <f aca="false">0</f>
        <v>0</v>
      </c>
      <c r="H23" s="36" t="n">
        <f aca="false">SUM(C23:G23)</f>
        <v>102.892</v>
      </c>
      <c r="I23" s="43" t="n">
        <f aca="false">IF(A23=0,0,H23/A23)</f>
        <v>0.0205784</v>
      </c>
      <c r="J23" s="23" t="n">
        <f aca="false">MAX(1,ROUNDUP($A23*Supuestos!$B$64/3600/(Supuestos!$B$66*Supuestos!$B$65),0))</f>
        <v>1</v>
      </c>
    </row>
    <row r="24" customFormat="false" ht="15" hidden="false" customHeight="false" outlineLevel="0" collapsed="false">
      <c r="A24" s="23" t="n">
        <f aca="false">$A$7</f>
        <v>10000</v>
      </c>
      <c r="B24" s="8" t="s">
        <v>12</v>
      </c>
      <c r="C24" s="14" t="n">
        <f aca="false">$A24*(Supuestos!$B$20*Supuestos!$B$23*1)/1000000*Supuestos!$B$32+$A24*((Supuestos!$B$21+Supuestos!$B$22*Supuestos!$B$24)*Supuestos!$B$23*1)/1000000*Supuestos!$B$33</f>
        <v>81.97875</v>
      </c>
      <c r="D24" s="14" t="n">
        <f aca="false">MAX(0,$A24*Supuestos!$B$36*1*Supuestos!$B$37+Supuestos!$B$39*Supuestos!$B$37*2592000-Supuestos!$B$43)*Supuestos!$B$40+MAX(0,$A24*Supuestos!$B$36*1*Supuestos!$B$38+Supuestos!$B$39*Supuestos!$B$38*2592000-Supuestos!$B$44)*Supuestos!$B$41+MAX(0,$A24*Supuestos!$B$9-Supuestos!$B$45)/1000000*Supuestos!$B$42</f>
        <v>0</v>
      </c>
      <c r="E24" s="14" t="n">
        <f aca="false">Supuestos!$B$54+$A24*(Supuestos!$B$8+0)*Supuestos!$B$7/1000000*Supuestos!$B$55+MAX(0,$A24*Supuestos!$B$11*1/1000000-Supuestos!$B$57)*Supuestos!$B$56</f>
        <v>10.1632</v>
      </c>
      <c r="F24" s="14" t="n">
        <f aca="false">MAX(0,$A24*Supuestos!$B$10/1000000-Supuestos!$B$61)*Supuestos!$B$60</f>
        <v>0.048</v>
      </c>
      <c r="G24" s="14" t="n">
        <f aca="false">Supuestos!$B$58*Supuestos!$B$59</f>
        <v>0.24</v>
      </c>
      <c r="H24" s="36" t="n">
        <f aca="false">SUM(C24:G24)</f>
        <v>92.42995</v>
      </c>
      <c r="I24" s="43" t="n">
        <f aca="false">IF(A24=0,0,H24/A24)</f>
        <v>0.009242995</v>
      </c>
      <c r="J24" s="23" t="n">
        <f aca="false">Supuestos!$B$39</f>
        <v>0</v>
      </c>
    </row>
    <row r="25" customFormat="false" ht="15" hidden="false" customHeight="false" outlineLevel="0" collapsed="false">
      <c r="A25" s="23" t="n">
        <f aca="false">$A$7</f>
        <v>10000</v>
      </c>
      <c r="B25" s="8" t="s">
        <v>13</v>
      </c>
      <c r="C25" s="14" t="n">
        <f aca="false">$A25*(Supuestos!$B$20*Supuestos!$B$23*Supuestos!$B$48)/1000000*Supuestos!$B$32+$A25*((Supuestos!$B$21+Supuestos!$B$22*Supuestos!$B$24)*Supuestos!$B$23*Supuestos!$B$48)/1000000*Supuestos!$B$33</f>
        <v>131.166</v>
      </c>
      <c r="D25" s="14" t="n">
        <f aca="false">MAX(0,$A25*Supuestos!$B$36*Supuestos!$B$49*Supuestos!$B$37+Supuestos!$B$39*Supuestos!$B$37*2592000-Supuestos!$B$43)*Supuestos!$B$40+MAX(0,$A25*Supuestos!$B$36*Supuestos!$B$49*Supuestos!$B$38+Supuestos!$B$39*Supuestos!$B$38*2592000-Supuestos!$B$44)*Supuestos!$B$41+MAX(0,$A25*Supuestos!$B$9-Supuestos!$B$45)/1000000*Supuestos!$B$42</f>
        <v>0</v>
      </c>
      <c r="E25" s="14" t="n">
        <f aca="false">Supuestos!$B$54+$A25*(Supuestos!$B$8+Supuestos!$B$50)*Supuestos!$B$7/1000000*Supuestos!$B$55+MAX(0,$A25*Supuestos!$B$11*Supuestos!$B$51/1000000-Supuestos!$B$57)*Supuestos!$B$56</f>
        <v>10.5712</v>
      </c>
      <c r="F25" s="14" t="n">
        <f aca="false">MAX(0,$A25*Supuestos!$B$10/1000000-Supuestos!$B$61)*Supuestos!$B$60</f>
        <v>0.048</v>
      </c>
      <c r="G25" s="14" t="n">
        <f aca="false">Supuestos!$B$58*Supuestos!$B$59</f>
        <v>0.24</v>
      </c>
      <c r="H25" s="36" t="n">
        <f aca="false">SUM(C25:G25)</f>
        <v>142.0252</v>
      </c>
      <c r="I25" s="43" t="n">
        <f aca="false">IF(A25=0,0,H25/A25)</f>
        <v>0.01420252</v>
      </c>
      <c r="J25" s="23" t="n">
        <f aca="false">Supuestos!$B$39</f>
        <v>0</v>
      </c>
    </row>
    <row r="26" customFormat="false" ht="15" hidden="false" customHeight="false" outlineLevel="0" collapsed="false">
      <c r="A26" s="23" t="n">
        <f aca="false">$A$7</f>
        <v>10000</v>
      </c>
      <c r="B26" s="8" t="s">
        <v>14</v>
      </c>
      <c r="C26" s="14" t="n">
        <f aca="false">0</f>
        <v>0</v>
      </c>
      <c r="D26" s="14" t="n">
        <f aca="false">MAX(1,ROUNDUP($A26*Supuestos!$B$64/3600/(Supuestos!$B$66*Supuestos!$B$65),0))*Supuestos!$B$67/Supuestos!$B$68+(($A26*Supuestos!$B$64/3600)*Supuestos!$B$69+(MAX(1,ROUNDUP($A26*Supuestos!$B$64/3600/(Supuestos!$B$66*Supuestos!$B$65),0))*Supuestos!$B$66-($A26*Supuestos!$B$64/3600))*Supuestos!$B$70)/1000*Supuestos!$B$71</f>
        <v>35.9133333333333</v>
      </c>
      <c r="E26" s="14" t="n">
        <f aca="false">0</f>
        <v>0</v>
      </c>
      <c r="F26" s="14" t="n">
        <f aca="false">0</f>
        <v>0</v>
      </c>
      <c r="G26" s="14" t="n">
        <f aca="false">0</f>
        <v>0</v>
      </c>
      <c r="H26" s="36" t="n">
        <f aca="false">SUM(C26:G26)</f>
        <v>35.9133333333333</v>
      </c>
      <c r="I26" s="43" t="n">
        <f aca="false">IF(A26=0,0,H26/A26)</f>
        <v>0.00359133333333333</v>
      </c>
      <c r="J26" s="23" t="n">
        <f aca="false">MAX(1,ROUNDUP($A26*Supuestos!$B$64/3600/(Supuestos!$B$66*Supuestos!$B$65),0))</f>
        <v>1</v>
      </c>
    </row>
    <row r="27" customFormat="false" ht="15" hidden="false" customHeight="false" outlineLevel="0" collapsed="false">
      <c r="A27" s="23" t="n">
        <f aca="false">$A$7</f>
        <v>10000</v>
      </c>
      <c r="B27" s="8" t="s">
        <v>15</v>
      </c>
      <c r="C27" s="14" t="n">
        <f aca="false">0</f>
        <v>0</v>
      </c>
      <c r="D27" s="14" t="n">
        <f aca="false">MAX(1,ROUNDUP($A27*Supuestos!$B$64/3600/(Supuestos!$B$66*Supuestos!$B$65),0))*Supuestos!$B$72*Supuestos!$B$66</f>
        <v>97.82</v>
      </c>
      <c r="E27" s="14" t="n">
        <f aca="false">(Supuestos!$B$73+$A27*Supuestos!$B$8*Supuestos!$B$7/1000000)*Supuestos!$B$74</f>
        <v>5.096</v>
      </c>
      <c r="F27" s="14" t="n">
        <f aca="false">MAX(0,$A27*Supuestos!$B$10/1000000-Supuestos!$B$61)*Supuestos!$B$60</f>
        <v>0.048</v>
      </c>
      <c r="G27" s="14" t="n">
        <f aca="false">0</f>
        <v>0</v>
      </c>
      <c r="H27" s="36" t="n">
        <f aca="false">SUM(C27:G27)</f>
        <v>102.964</v>
      </c>
      <c r="I27" s="43" t="n">
        <f aca="false">IF(A27=0,0,H27/A27)</f>
        <v>0.0102964</v>
      </c>
      <c r="J27" s="23" t="n">
        <f aca="false">MAX(1,ROUNDUP($A27*Supuestos!$B$64/3600/(Supuestos!$B$66*Supuestos!$B$65),0))</f>
        <v>1</v>
      </c>
    </row>
    <row r="28" customFormat="false" ht="15" hidden="false" customHeight="false" outlineLevel="0" collapsed="false">
      <c r="A28" s="23" t="n">
        <f aca="false">$A$8</f>
        <v>50000</v>
      </c>
      <c r="B28" s="8" t="s">
        <v>12</v>
      </c>
      <c r="C28" s="14" t="n">
        <f aca="false">$A28*(Supuestos!$B$20*Supuestos!$B$23*1)/1000000*Supuestos!$B$32+$A28*((Supuestos!$B$21+Supuestos!$B$22*Supuestos!$B$24)*Supuestos!$B$23*1)/1000000*Supuestos!$B$33</f>
        <v>409.89375</v>
      </c>
      <c r="D28" s="14" t="n">
        <f aca="false">MAX(0,$A28*Supuestos!$B$36*1*Supuestos!$B$37+Supuestos!$B$39*Supuestos!$B$37*2592000-Supuestos!$B$43)*Supuestos!$B$40+MAX(0,$A28*Supuestos!$B$36*1*Supuestos!$B$38+Supuestos!$B$39*Supuestos!$B$38*2592000-Supuestos!$B$44)*Supuestos!$B$41+MAX(0,$A28*Supuestos!$B$9-Supuestos!$B$45)/1000000*Supuestos!$B$42</f>
        <v>8.03</v>
      </c>
      <c r="E28" s="14" t="n">
        <f aca="false">Supuestos!$B$54+$A28*(Supuestos!$B$8+0)*Supuestos!$B$7/1000000*Supuestos!$B$55+MAX(0,$A28*Supuestos!$B$11*1/1000000-Supuestos!$B$57)*Supuestos!$B$56</f>
        <v>10.816</v>
      </c>
      <c r="F28" s="14" t="n">
        <f aca="false">MAX(0,$A28*Supuestos!$B$10/1000000-Supuestos!$B$61)*Supuestos!$B$60</f>
        <v>0.24</v>
      </c>
      <c r="G28" s="14" t="n">
        <f aca="false">Supuestos!$B$58*Supuestos!$B$59</f>
        <v>0.24</v>
      </c>
      <c r="H28" s="36" t="n">
        <f aca="false">SUM(C28:G28)</f>
        <v>429.21975</v>
      </c>
      <c r="I28" s="43" t="n">
        <f aca="false">IF(A28=0,0,H28/A28)</f>
        <v>0.008584395</v>
      </c>
      <c r="J28" s="23" t="n">
        <f aca="false">Supuestos!$B$39</f>
        <v>0</v>
      </c>
    </row>
    <row r="29" customFormat="false" ht="15" hidden="false" customHeight="false" outlineLevel="0" collapsed="false">
      <c r="A29" s="23" t="n">
        <f aca="false">$A$8</f>
        <v>50000</v>
      </c>
      <c r="B29" s="8" t="s">
        <v>13</v>
      </c>
      <c r="C29" s="14" t="n">
        <f aca="false">$A29*(Supuestos!$B$20*Supuestos!$B$23*Supuestos!$B$48)/1000000*Supuestos!$B$32+$A29*((Supuestos!$B$21+Supuestos!$B$22*Supuestos!$B$24)*Supuestos!$B$23*Supuestos!$B$48)/1000000*Supuestos!$B$33</f>
        <v>655.83</v>
      </c>
      <c r="D29" s="14" t="n">
        <f aca="false">MAX(0,$A29*Supuestos!$B$36*Supuestos!$B$49*Supuestos!$B$37+Supuestos!$B$39*Supuestos!$B$37*2592000-Supuestos!$B$43)*Supuestos!$B$40+MAX(0,$A29*Supuestos!$B$36*Supuestos!$B$49*Supuestos!$B$38+Supuestos!$B$39*Supuestos!$B$38*2592000-Supuestos!$B$44)*Supuestos!$B$41+MAX(0,$A29*Supuestos!$B$9-Supuestos!$B$45)/1000000*Supuestos!$B$42</f>
        <v>15.98</v>
      </c>
      <c r="E29" s="14" t="n">
        <f aca="false">Supuestos!$B$54+$A29*(Supuestos!$B$8+Supuestos!$B$50)*Supuestos!$B$7/1000000*Supuestos!$B$55+MAX(0,$A29*Supuestos!$B$11*Supuestos!$B$51/1000000-Supuestos!$B$57)*Supuestos!$B$56</f>
        <v>12.856</v>
      </c>
      <c r="F29" s="14" t="n">
        <f aca="false">MAX(0,$A29*Supuestos!$B$10/1000000-Supuestos!$B$61)*Supuestos!$B$60</f>
        <v>0.24</v>
      </c>
      <c r="G29" s="14" t="n">
        <f aca="false">Supuestos!$B$58*Supuestos!$B$59</f>
        <v>0.24</v>
      </c>
      <c r="H29" s="36" t="n">
        <f aca="false">SUM(C29:G29)</f>
        <v>685.146</v>
      </c>
      <c r="I29" s="43" t="n">
        <f aca="false">IF(A29=0,0,H29/A29)</f>
        <v>0.01370292</v>
      </c>
      <c r="J29" s="23" t="n">
        <f aca="false">Supuestos!$B$39</f>
        <v>0</v>
      </c>
    </row>
    <row r="30" customFormat="false" ht="15" hidden="false" customHeight="false" outlineLevel="0" collapsed="false">
      <c r="A30" s="23" t="n">
        <f aca="false">$A$8</f>
        <v>50000</v>
      </c>
      <c r="B30" s="8" t="s">
        <v>14</v>
      </c>
      <c r="C30" s="14" t="n">
        <f aca="false">0</f>
        <v>0</v>
      </c>
      <c r="D30" s="14" t="n">
        <f aca="false">MAX(1,ROUNDUP($A30*Supuestos!$B$64/3600/(Supuestos!$B$66*Supuestos!$B$65),0))*Supuestos!$B$67/Supuestos!$B$68+(($A30*Supuestos!$B$64/3600)*Supuestos!$B$69+(MAX(1,ROUNDUP($A30*Supuestos!$B$64/3600/(Supuestos!$B$66*Supuestos!$B$65),0))*Supuestos!$B$66-($A30*Supuestos!$B$64/3600))*Supuestos!$B$70)/1000*Supuestos!$B$71</f>
        <v>74.6391666666667</v>
      </c>
      <c r="E30" s="14" t="n">
        <f aca="false">0</f>
        <v>0</v>
      </c>
      <c r="F30" s="14" t="n">
        <f aca="false">0</f>
        <v>0</v>
      </c>
      <c r="G30" s="14" t="n">
        <f aca="false">0</f>
        <v>0</v>
      </c>
      <c r="H30" s="36" t="n">
        <f aca="false">SUM(C30:G30)</f>
        <v>74.6391666666667</v>
      </c>
      <c r="I30" s="43" t="n">
        <f aca="false">IF(A30=0,0,H30/A30)</f>
        <v>0.00149278333333333</v>
      </c>
      <c r="J30" s="23" t="n">
        <f aca="false">MAX(1,ROUNDUP($A30*Supuestos!$B$64/3600/(Supuestos!$B$66*Supuestos!$B$65),0))</f>
        <v>2</v>
      </c>
    </row>
    <row r="31" customFormat="false" ht="15" hidden="false" customHeight="false" outlineLevel="0" collapsed="false">
      <c r="A31" s="23" t="n">
        <f aca="false">$A$8</f>
        <v>50000</v>
      </c>
      <c r="B31" s="8" t="s">
        <v>15</v>
      </c>
      <c r="C31" s="14" t="n">
        <f aca="false">0</f>
        <v>0</v>
      </c>
      <c r="D31" s="14" t="n">
        <f aca="false">MAX(1,ROUNDUP($A31*Supuestos!$B$64/3600/(Supuestos!$B$66*Supuestos!$B$65),0))*Supuestos!$B$72*Supuestos!$B$66</f>
        <v>195.64</v>
      </c>
      <c r="E31" s="14" t="n">
        <f aca="false">(Supuestos!$B$73+$A31*Supuestos!$B$8*Supuestos!$B$7/1000000)*Supuestos!$B$74</f>
        <v>5.48</v>
      </c>
      <c r="F31" s="14" t="n">
        <f aca="false">MAX(0,$A31*Supuestos!$B$10/1000000-Supuestos!$B$61)*Supuestos!$B$60</f>
        <v>0.24</v>
      </c>
      <c r="G31" s="14" t="n">
        <f aca="false">0</f>
        <v>0</v>
      </c>
      <c r="H31" s="36" t="n">
        <f aca="false">SUM(C31:G31)</f>
        <v>201.36</v>
      </c>
      <c r="I31" s="43" t="n">
        <f aca="false">IF(A31=0,0,H31/A31)</f>
        <v>0.0040272</v>
      </c>
      <c r="J31" s="23" t="n">
        <f aca="false">MAX(1,ROUNDUP($A31*Supuestos!$B$64/3600/(Supuestos!$B$66*Supuestos!$B$65),0))</f>
        <v>2</v>
      </c>
    </row>
    <row r="32" customFormat="false" ht="15" hidden="false" customHeight="false" outlineLevel="0" collapsed="false">
      <c r="A32" s="23" t="n">
        <f aca="false">$A$9</f>
        <v>100000</v>
      </c>
      <c r="B32" s="8" t="s">
        <v>12</v>
      </c>
      <c r="C32" s="14" t="n">
        <f aca="false">$A32*(Supuestos!$B$20*Supuestos!$B$23*1)/1000000*Supuestos!$B$32+$A32*((Supuestos!$B$21+Supuestos!$B$22*Supuestos!$B$24)*Supuestos!$B$23*1)/1000000*Supuestos!$B$33</f>
        <v>819.7875</v>
      </c>
      <c r="D32" s="14" t="n">
        <f aca="false">MAX(0,$A32*Supuestos!$B$36*1*Supuestos!$B$37+Supuestos!$B$39*Supuestos!$B$37*2592000-Supuestos!$B$43)*Supuestos!$B$40+MAX(0,$A32*Supuestos!$B$36*1*Supuestos!$B$38+Supuestos!$B$39*Supuestos!$B$38*2592000-Supuestos!$B$44)*Supuestos!$B$41+MAX(0,$A32*Supuestos!$B$9-Supuestos!$B$45)/1000000*Supuestos!$B$42</f>
        <v>21.28</v>
      </c>
      <c r="E32" s="14" t="n">
        <f aca="false">Supuestos!$B$54+$A32*(Supuestos!$B$8+0)*Supuestos!$B$7/1000000*Supuestos!$B$55+MAX(0,$A32*Supuestos!$B$11*1/1000000-Supuestos!$B$57)*Supuestos!$B$56</f>
        <v>11.632</v>
      </c>
      <c r="F32" s="14" t="n">
        <f aca="false">MAX(0,$A32*Supuestos!$B$10/1000000-Supuestos!$B$61)*Supuestos!$B$60</f>
        <v>0.48</v>
      </c>
      <c r="G32" s="14" t="n">
        <f aca="false">Supuestos!$B$58*Supuestos!$B$59</f>
        <v>0.24</v>
      </c>
      <c r="H32" s="36" t="n">
        <f aca="false">SUM(C32:G32)</f>
        <v>853.4195</v>
      </c>
      <c r="I32" s="43" t="n">
        <f aca="false">IF(A32=0,0,H32/A32)</f>
        <v>0.008534195</v>
      </c>
      <c r="J32" s="23" t="n">
        <f aca="false">Supuestos!$B$39</f>
        <v>0</v>
      </c>
    </row>
    <row r="33" customFormat="false" ht="15" hidden="false" customHeight="false" outlineLevel="0" collapsed="false">
      <c r="A33" s="23" t="n">
        <f aca="false">$A$9</f>
        <v>100000</v>
      </c>
      <c r="B33" s="8" t="s">
        <v>13</v>
      </c>
      <c r="C33" s="14" t="n">
        <f aca="false">$A33*(Supuestos!$B$20*Supuestos!$B$23*Supuestos!$B$48)/1000000*Supuestos!$B$32+$A33*((Supuestos!$B$21+Supuestos!$B$22*Supuestos!$B$24)*Supuestos!$B$23*Supuestos!$B$48)/1000000*Supuestos!$B$33</f>
        <v>1311.66</v>
      </c>
      <c r="D33" s="14" t="n">
        <f aca="false">MAX(0,$A33*Supuestos!$B$36*Supuestos!$B$49*Supuestos!$B$37+Supuestos!$B$39*Supuestos!$B$37*2592000-Supuestos!$B$43)*Supuestos!$B$40+MAX(0,$A33*Supuestos!$B$36*Supuestos!$B$49*Supuestos!$B$38+Supuestos!$B$39*Supuestos!$B$38*2592000-Supuestos!$B$44)*Supuestos!$B$41+MAX(0,$A33*Supuestos!$B$9-Supuestos!$B$45)/1000000*Supuestos!$B$42</f>
        <v>37.18</v>
      </c>
      <c r="E33" s="14" t="n">
        <f aca="false">Supuestos!$B$54+$A33*(Supuestos!$B$8+Supuestos!$B$50)*Supuestos!$B$7/1000000*Supuestos!$B$55+MAX(0,$A33*Supuestos!$B$11*Supuestos!$B$51/1000000-Supuestos!$B$57)*Supuestos!$B$56</f>
        <v>15.712</v>
      </c>
      <c r="F33" s="14" t="n">
        <f aca="false">MAX(0,$A33*Supuestos!$B$10/1000000-Supuestos!$B$61)*Supuestos!$B$60</f>
        <v>0.48</v>
      </c>
      <c r="G33" s="14" t="n">
        <f aca="false">Supuestos!$B$58*Supuestos!$B$59</f>
        <v>0.24</v>
      </c>
      <c r="H33" s="36" t="n">
        <f aca="false">SUM(C33:G33)</f>
        <v>1365.272</v>
      </c>
      <c r="I33" s="43" t="n">
        <f aca="false">IF(A33=0,0,H33/A33)</f>
        <v>0.01365272</v>
      </c>
      <c r="J33" s="23" t="n">
        <f aca="false">Supuestos!$B$39</f>
        <v>0</v>
      </c>
    </row>
    <row r="34" customFormat="false" ht="15" hidden="false" customHeight="false" outlineLevel="0" collapsed="false">
      <c r="A34" s="23" t="n">
        <f aca="false">$A$9</f>
        <v>100000</v>
      </c>
      <c r="B34" s="8" t="s">
        <v>14</v>
      </c>
      <c r="C34" s="14" t="n">
        <f aca="false">0</f>
        <v>0</v>
      </c>
      <c r="D34" s="14" t="n">
        <f aca="false">MAX(1,ROUNDUP($A34*Supuestos!$B$64/3600/(Supuestos!$B$66*Supuestos!$B$65),0))*Supuestos!$B$67/Supuestos!$B$68+(($A34*Supuestos!$B$64/3600)*Supuestos!$B$69+(MAX(1,ROUNDUP($A34*Supuestos!$B$64/3600/(Supuestos!$B$66*Supuestos!$B$65),0))*Supuestos!$B$66-($A34*Supuestos!$B$64/3600))*Supuestos!$B$70)/1000*Supuestos!$B$71</f>
        <v>114.3025</v>
      </c>
      <c r="E34" s="14" t="n">
        <f aca="false">0</f>
        <v>0</v>
      </c>
      <c r="F34" s="14" t="n">
        <f aca="false">0</f>
        <v>0</v>
      </c>
      <c r="G34" s="14" t="n">
        <f aca="false">0</f>
        <v>0</v>
      </c>
      <c r="H34" s="36" t="n">
        <f aca="false">SUM(C34:G34)</f>
        <v>114.3025</v>
      </c>
      <c r="I34" s="43" t="n">
        <f aca="false">IF(A34=0,0,H34/A34)</f>
        <v>0.001143025</v>
      </c>
      <c r="J34" s="23" t="n">
        <f aca="false">MAX(1,ROUNDUP($A34*Supuestos!$B$64/3600/(Supuestos!$B$66*Supuestos!$B$65),0))</f>
        <v>3</v>
      </c>
    </row>
    <row r="35" customFormat="false" ht="15" hidden="false" customHeight="false" outlineLevel="0" collapsed="false">
      <c r="A35" s="23" t="n">
        <f aca="false">$A$9</f>
        <v>100000</v>
      </c>
      <c r="B35" s="8" t="s">
        <v>15</v>
      </c>
      <c r="C35" s="14" t="n">
        <f aca="false">0</f>
        <v>0</v>
      </c>
      <c r="D35" s="14" t="n">
        <f aca="false">MAX(1,ROUNDUP($A35*Supuestos!$B$64/3600/(Supuestos!$B$66*Supuestos!$B$65),0))*Supuestos!$B$72*Supuestos!$B$66</f>
        <v>293.46</v>
      </c>
      <c r="E35" s="14" t="n">
        <f aca="false">(Supuestos!$B$73+$A35*Supuestos!$B$8*Supuestos!$B$7/1000000)*Supuestos!$B$74</f>
        <v>5.96</v>
      </c>
      <c r="F35" s="14" t="n">
        <f aca="false">MAX(0,$A35*Supuestos!$B$10/1000000-Supuestos!$B$61)*Supuestos!$B$60</f>
        <v>0.48</v>
      </c>
      <c r="G35" s="14" t="n">
        <f aca="false">0</f>
        <v>0</v>
      </c>
      <c r="H35" s="36" t="n">
        <f aca="false">SUM(C35:G35)</f>
        <v>299.9</v>
      </c>
      <c r="I35" s="43" t="n">
        <f aca="false">IF(A35=0,0,H35/A35)</f>
        <v>0.002999</v>
      </c>
      <c r="J35" s="23" t="n">
        <f aca="false">MAX(1,ROUNDUP($A35*Supuestos!$B$64/3600/(Supuestos!$B$66*Supuestos!$B$65),0))</f>
        <v>3</v>
      </c>
    </row>
    <row r="36" customFormat="false" ht="15" hidden="false" customHeight="false" outlineLevel="0" collapsed="false">
      <c r="A36" s="23" t="n">
        <f aca="false">$A$10</f>
        <v>500000</v>
      </c>
      <c r="B36" s="8" t="s">
        <v>12</v>
      </c>
      <c r="C36" s="14" t="n">
        <f aca="false">$A36*(Supuestos!$B$20*Supuestos!$B$23*1)/1000000*Supuestos!$B$32+$A36*((Supuestos!$B$21+Supuestos!$B$22*Supuestos!$B$24)*Supuestos!$B$23*1)/1000000*Supuestos!$B$33</f>
        <v>4098.9375</v>
      </c>
      <c r="D36" s="14" t="n">
        <f aca="false">MAX(0,$A36*Supuestos!$B$36*1*Supuestos!$B$37+Supuestos!$B$39*Supuestos!$B$37*2592000-Supuestos!$B$43)*Supuestos!$B$40+MAX(0,$A36*Supuestos!$B$36*1*Supuestos!$B$38+Supuestos!$B$39*Supuestos!$B$38*2592000-Supuestos!$B$44)*Supuestos!$B$41+MAX(0,$A36*Supuestos!$B$9-Supuestos!$B$45)/1000000*Supuestos!$B$42</f>
        <v>128.08</v>
      </c>
      <c r="E36" s="14" t="n">
        <f aca="false">Supuestos!$B$54+$A36*(Supuestos!$B$8+0)*Supuestos!$B$7/1000000*Supuestos!$B$55+MAX(0,$A36*Supuestos!$B$11*1/1000000-Supuestos!$B$57)*Supuestos!$B$56</f>
        <v>18.16</v>
      </c>
      <c r="F36" s="14" t="n">
        <f aca="false">MAX(0,$A36*Supuestos!$B$10/1000000-Supuestos!$B$61)*Supuestos!$B$60</f>
        <v>2.4</v>
      </c>
      <c r="G36" s="14" t="n">
        <f aca="false">Supuestos!$B$58*Supuestos!$B$59</f>
        <v>0.24</v>
      </c>
      <c r="H36" s="36" t="n">
        <f aca="false">SUM(C36:G36)</f>
        <v>4247.8175</v>
      </c>
      <c r="I36" s="43" t="n">
        <f aca="false">IF(A36=0,0,H36/A36)</f>
        <v>0.008495635</v>
      </c>
      <c r="J36" s="23" t="n">
        <f aca="false">Supuestos!$B$39</f>
        <v>0</v>
      </c>
    </row>
    <row r="37" customFormat="false" ht="15" hidden="false" customHeight="false" outlineLevel="0" collapsed="false">
      <c r="A37" s="23" t="n">
        <f aca="false">$A$10</f>
        <v>500000</v>
      </c>
      <c r="B37" s="8" t="s">
        <v>13</v>
      </c>
      <c r="C37" s="14" t="n">
        <f aca="false">$A37*(Supuestos!$B$20*Supuestos!$B$23*Supuestos!$B$48)/1000000*Supuestos!$B$32+$A37*((Supuestos!$B$21+Supuestos!$B$22*Supuestos!$B$24)*Supuestos!$B$23*Supuestos!$B$48)/1000000*Supuestos!$B$33</f>
        <v>6558.3</v>
      </c>
      <c r="D37" s="14" t="n">
        <f aca="false">MAX(0,$A37*Supuestos!$B$36*Supuestos!$B$49*Supuestos!$B$37+Supuestos!$B$39*Supuestos!$B$37*2592000-Supuestos!$B$43)*Supuestos!$B$40+MAX(0,$A37*Supuestos!$B$36*Supuestos!$B$49*Supuestos!$B$38+Supuestos!$B$39*Supuestos!$B$38*2592000-Supuestos!$B$44)*Supuestos!$B$41+MAX(0,$A37*Supuestos!$B$9-Supuestos!$B$45)/1000000*Supuestos!$B$42</f>
        <v>207.58</v>
      </c>
      <c r="E37" s="14" t="n">
        <f aca="false">Supuestos!$B$54+$A37*(Supuestos!$B$8+Supuestos!$B$50)*Supuestos!$B$7/1000000*Supuestos!$B$55+MAX(0,$A37*Supuestos!$B$11*Supuestos!$B$51/1000000-Supuestos!$B$57)*Supuestos!$B$56</f>
        <v>38.56</v>
      </c>
      <c r="F37" s="14" t="n">
        <f aca="false">MAX(0,$A37*Supuestos!$B$10/1000000-Supuestos!$B$61)*Supuestos!$B$60</f>
        <v>2.4</v>
      </c>
      <c r="G37" s="14" t="n">
        <f aca="false">Supuestos!$B$58*Supuestos!$B$59</f>
        <v>0.24</v>
      </c>
      <c r="H37" s="36" t="n">
        <f aca="false">SUM(C37:G37)</f>
        <v>6807.08</v>
      </c>
      <c r="I37" s="43" t="n">
        <f aca="false">IF(A37=0,0,H37/A37)</f>
        <v>0.01361416</v>
      </c>
      <c r="J37" s="23" t="n">
        <f aca="false">Supuestos!$B$39</f>
        <v>0</v>
      </c>
    </row>
    <row r="38" customFormat="false" ht="15" hidden="false" customHeight="false" outlineLevel="0" collapsed="false">
      <c r="A38" s="23" t="n">
        <f aca="false">$A$10</f>
        <v>500000</v>
      </c>
      <c r="B38" s="8" t="s">
        <v>14</v>
      </c>
      <c r="C38" s="14" t="n">
        <f aca="false">0</f>
        <v>0</v>
      </c>
      <c r="D38" s="14" t="n">
        <f aca="false">MAX(1,ROUNDUP($A38*Supuestos!$B$64/3600/(Supuestos!$B$66*Supuestos!$B$65),0))*Supuestos!$B$67/Supuestos!$B$68+(($A38*Supuestos!$B$64/3600)*Supuestos!$B$69+(MAX(1,ROUNDUP($A38*Supuestos!$B$64/3600/(Supuestos!$B$66*Supuestos!$B$65),0))*Supuestos!$B$66-($A38*Supuestos!$B$64/3600))*Supuestos!$B$70)/1000*Supuestos!$B$71</f>
        <v>501.560833333333</v>
      </c>
      <c r="E38" s="14" t="n">
        <f aca="false">0</f>
        <v>0</v>
      </c>
      <c r="F38" s="14" t="n">
        <f aca="false">0</f>
        <v>0</v>
      </c>
      <c r="G38" s="14" t="n">
        <f aca="false">0</f>
        <v>0</v>
      </c>
      <c r="H38" s="36" t="n">
        <f aca="false">SUM(C38:G38)</f>
        <v>501.560833333333</v>
      </c>
      <c r="I38" s="43" t="n">
        <f aca="false">IF(A38=0,0,H38/A38)</f>
        <v>0.00100312166666667</v>
      </c>
      <c r="J38" s="23" t="n">
        <f aca="false">MAX(1,ROUNDUP($A38*Supuestos!$B$64/3600/(Supuestos!$B$66*Supuestos!$B$65),0))</f>
        <v>13</v>
      </c>
    </row>
    <row r="39" customFormat="false" ht="15" hidden="false" customHeight="false" outlineLevel="0" collapsed="false">
      <c r="A39" s="23" t="n">
        <f aca="false">$A$10</f>
        <v>500000</v>
      </c>
      <c r="B39" s="8" t="s">
        <v>15</v>
      </c>
      <c r="C39" s="14" t="n">
        <f aca="false">0</f>
        <v>0</v>
      </c>
      <c r="D39" s="14" t="n">
        <f aca="false">MAX(1,ROUNDUP($A39*Supuestos!$B$64/3600/(Supuestos!$B$66*Supuestos!$B$65),0))*Supuestos!$B$72*Supuestos!$B$66</f>
        <v>1271.66</v>
      </c>
      <c r="E39" s="14" t="n">
        <f aca="false">(Supuestos!$B$73+$A39*Supuestos!$B$8*Supuestos!$B$7/1000000)*Supuestos!$B$74</f>
        <v>9.8</v>
      </c>
      <c r="F39" s="14" t="n">
        <f aca="false">MAX(0,$A39*Supuestos!$B$10/1000000-Supuestos!$B$61)*Supuestos!$B$60</f>
        <v>2.4</v>
      </c>
      <c r="G39" s="14" t="n">
        <f aca="false">0</f>
        <v>0</v>
      </c>
      <c r="H39" s="36" t="n">
        <f aca="false">SUM(C39:G39)</f>
        <v>1283.86</v>
      </c>
      <c r="I39" s="43" t="n">
        <f aca="false">IF(A39=0,0,H39/A39)</f>
        <v>0.00256772</v>
      </c>
      <c r="J39" s="23" t="n">
        <f aca="false">MAX(1,ROUNDUP($A39*Supuestos!$B$64/3600/(Supuestos!$B$66*Supuestos!$B$65),0))</f>
        <v>13</v>
      </c>
    </row>
    <row r="40" customFormat="false" ht="15" hidden="false" customHeight="false" outlineLevel="0" collapsed="false">
      <c r="A40" s="23" t="n">
        <f aca="false">$A$11</f>
        <v>10000</v>
      </c>
      <c r="B40" s="8" t="s">
        <v>12</v>
      </c>
      <c r="C40" s="14" t="n">
        <f aca="false">$A40*(Supuestos!$B$20*Supuestos!$B$23*1)/1000000*Supuestos!$B$32+$A40*((Supuestos!$B$21+Supuestos!$B$22*Supuestos!$B$24)*Supuestos!$B$23*1)/1000000*Supuestos!$B$33</f>
        <v>81.97875</v>
      </c>
      <c r="D40" s="14" t="n">
        <f aca="false">MAX(0,$A40*Supuestos!$B$36*1*Supuestos!$B$37+Supuestos!$B$39*Supuestos!$B$37*2592000-Supuestos!$B$43)*Supuestos!$B$40+MAX(0,$A40*Supuestos!$B$36*1*Supuestos!$B$38+Supuestos!$B$39*Supuestos!$B$38*2592000-Supuestos!$B$44)*Supuestos!$B$41+MAX(0,$A40*Supuestos!$B$9-Supuestos!$B$45)/1000000*Supuestos!$B$42</f>
        <v>0</v>
      </c>
      <c r="E40" s="14" t="n">
        <f aca="false">Supuestos!$B$54+$A40*(Supuestos!$B$8+0)*Supuestos!$B$7/1000000*Supuestos!$B$55+MAX(0,$A40*Supuestos!$B$11*1/1000000-Supuestos!$B$57)*Supuestos!$B$56</f>
        <v>10.1632</v>
      </c>
      <c r="F40" s="14" t="n">
        <f aca="false">MAX(0,$A40*Supuestos!$B$10/1000000-Supuestos!$B$61)*Supuestos!$B$60</f>
        <v>0.048</v>
      </c>
      <c r="G40" s="14" t="n">
        <f aca="false">Supuestos!$B$58*Supuestos!$B$59</f>
        <v>0.24</v>
      </c>
      <c r="H40" s="36" t="n">
        <f aca="false">SUM(C40:G40)</f>
        <v>92.42995</v>
      </c>
      <c r="I40" s="43" t="n">
        <f aca="false">IF(A40=0,0,H40/A40)</f>
        <v>0.009242995</v>
      </c>
      <c r="J40" s="23" t="n">
        <f aca="false">Supuestos!$B$39</f>
        <v>0</v>
      </c>
    </row>
    <row r="41" customFormat="false" ht="15" hidden="false" customHeight="false" outlineLevel="0" collapsed="false">
      <c r="A41" s="23" t="n">
        <f aca="false">$A$11</f>
        <v>10000</v>
      </c>
      <c r="B41" s="8" t="s">
        <v>13</v>
      </c>
      <c r="C41" s="14" t="n">
        <f aca="false">$A41*(Supuestos!$B$20*Supuestos!$B$23*Supuestos!$B$48)/1000000*Supuestos!$B$32+$A41*((Supuestos!$B$21+Supuestos!$B$22*Supuestos!$B$24)*Supuestos!$B$23*Supuestos!$B$48)/1000000*Supuestos!$B$33</f>
        <v>131.166</v>
      </c>
      <c r="D41" s="14" t="n">
        <f aca="false">MAX(0,$A41*Supuestos!$B$36*Supuestos!$B$49*Supuestos!$B$37+Supuestos!$B$39*Supuestos!$B$37*2592000-Supuestos!$B$43)*Supuestos!$B$40+MAX(0,$A41*Supuestos!$B$36*Supuestos!$B$49*Supuestos!$B$38+Supuestos!$B$39*Supuestos!$B$38*2592000-Supuestos!$B$44)*Supuestos!$B$41+MAX(0,$A41*Supuestos!$B$9-Supuestos!$B$45)/1000000*Supuestos!$B$42</f>
        <v>0</v>
      </c>
      <c r="E41" s="14" t="n">
        <f aca="false">Supuestos!$B$54+$A41*(Supuestos!$B$8+Supuestos!$B$50)*Supuestos!$B$7/1000000*Supuestos!$B$55+MAX(0,$A41*Supuestos!$B$11*Supuestos!$B$51/1000000-Supuestos!$B$57)*Supuestos!$B$56</f>
        <v>10.5712</v>
      </c>
      <c r="F41" s="14" t="n">
        <f aca="false">MAX(0,$A41*Supuestos!$B$10/1000000-Supuestos!$B$61)*Supuestos!$B$60</f>
        <v>0.048</v>
      </c>
      <c r="G41" s="14" t="n">
        <f aca="false">Supuestos!$B$58*Supuestos!$B$59</f>
        <v>0.24</v>
      </c>
      <c r="H41" s="36" t="n">
        <f aca="false">SUM(C41:G41)</f>
        <v>142.0252</v>
      </c>
      <c r="I41" s="43" t="n">
        <f aca="false">IF(A41=0,0,H41/A41)</f>
        <v>0.01420252</v>
      </c>
      <c r="J41" s="23" t="n">
        <f aca="false">Supuestos!$B$39</f>
        <v>0</v>
      </c>
    </row>
    <row r="42" customFormat="false" ht="15" hidden="false" customHeight="false" outlineLevel="0" collapsed="false">
      <c r="A42" s="23" t="n">
        <f aca="false">$A$11</f>
        <v>10000</v>
      </c>
      <c r="B42" s="8" t="s">
        <v>14</v>
      </c>
      <c r="C42" s="14" t="n">
        <f aca="false">0</f>
        <v>0</v>
      </c>
      <c r="D42" s="14" t="n">
        <f aca="false">MAX(1,ROUNDUP($A42*Supuestos!$B$64/3600/(Supuestos!$B$66*Supuestos!$B$65),0))*Supuestos!$B$67/Supuestos!$B$68+(($A42*Supuestos!$B$64/3600)*Supuestos!$B$69+(MAX(1,ROUNDUP($A42*Supuestos!$B$64/3600/(Supuestos!$B$66*Supuestos!$B$65),0))*Supuestos!$B$66-($A42*Supuestos!$B$64/3600))*Supuestos!$B$70)/1000*Supuestos!$B$71</f>
        <v>35.9133333333333</v>
      </c>
      <c r="E42" s="14" t="n">
        <f aca="false">0</f>
        <v>0</v>
      </c>
      <c r="F42" s="14" t="n">
        <f aca="false">0</f>
        <v>0</v>
      </c>
      <c r="G42" s="14" t="n">
        <f aca="false">0</f>
        <v>0</v>
      </c>
      <c r="H42" s="36" t="n">
        <f aca="false">SUM(C42:G42)</f>
        <v>35.9133333333333</v>
      </c>
      <c r="I42" s="43" t="n">
        <f aca="false">IF(A42=0,0,H42/A42)</f>
        <v>0.00359133333333333</v>
      </c>
      <c r="J42" s="23" t="n">
        <f aca="false">MAX(1,ROUNDUP($A42*Supuestos!$B$64/3600/(Supuestos!$B$66*Supuestos!$B$65),0))</f>
        <v>1</v>
      </c>
    </row>
    <row r="43" customFormat="false" ht="15" hidden="false" customHeight="false" outlineLevel="0" collapsed="false">
      <c r="A43" s="23" t="n">
        <f aca="false">$A$11</f>
        <v>10000</v>
      </c>
      <c r="B43" s="8" t="s">
        <v>15</v>
      </c>
      <c r="C43" s="14" t="n">
        <f aca="false">0</f>
        <v>0</v>
      </c>
      <c r="D43" s="14" t="n">
        <f aca="false">MAX(1,ROUNDUP($A43*Supuestos!$B$64/3600/(Supuestos!$B$66*Supuestos!$B$65),0))*Supuestos!$B$72*Supuestos!$B$66</f>
        <v>97.82</v>
      </c>
      <c r="E43" s="14" t="n">
        <f aca="false">(Supuestos!$B$73+$A43*Supuestos!$B$8*Supuestos!$B$7/1000000)*Supuestos!$B$74</f>
        <v>5.096</v>
      </c>
      <c r="F43" s="14" t="n">
        <f aca="false">MAX(0,$A43*Supuestos!$B$10/1000000-Supuestos!$B$61)*Supuestos!$B$60</f>
        <v>0.048</v>
      </c>
      <c r="G43" s="14" t="n">
        <f aca="false">0</f>
        <v>0</v>
      </c>
      <c r="H43" s="36" t="n">
        <f aca="false">SUM(C43:G43)</f>
        <v>102.964</v>
      </c>
      <c r="I43" s="43" t="n">
        <f aca="false">IF(A43=0,0,H43/A43)</f>
        <v>0.0102964</v>
      </c>
      <c r="J43" s="23" t="n">
        <f aca="false">MAX(1,ROUNDUP($A43*Supuestos!$B$64/3600/(Supuestos!$B$66*Supuestos!$B$65),0))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5" t="s">
        <v>229</v>
      </c>
    </row>
    <row r="3" customFormat="false" ht="15" hidden="false" customHeight="false" outlineLevel="0" collapsed="false">
      <c r="A3" s="17" t="s">
        <v>230</v>
      </c>
      <c r="B3" s="18"/>
    </row>
    <row r="4" customFormat="false" ht="23.85" hidden="false" customHeight="false" outlineLevel="0" collapsed="false">
      <c r="A4" s="44" t="s">
        <v>231</v>
      </c>
      <c r="B4" s="45" t="s">
        <v>232</v>
      </c>
    </row>
    <row r="5" customFormat="false" ht="35.05" hidden="false" customHeight="false" outlineLevel="0" collapsed="false">
      <c r="A5" s="44" t="s">
        <v>233</v>
      </c>
      <c r="B5" s="45" t="s">
        <v>234</v>
      </c>
    </row>
    <row r="6" customFormat="false" ht="23.85" hidden="false" customHeight="false" outlineLevel="0" collapsed="false">
      <c r="A6" s="44" t="s">
        <v>235</v>
      </c>
      <c r="B6" s="45" t="s">
        <v>236</v>
      </c>
    </row>
    <row r="7" customFormat="false" ht="23.85" hidden="false" customHeight="false" outlineLevel="0" collapsed="false">
      <c r="A7" s="44" t="s">
        <v>237</v>
      </c>
      <c r="B7" s="45" t="s">
        <v>238</v>
      </c>
    </row>
    <row r="8" customFormat="false" ht="15" hidden="false" customHeight="false" outlineLevel="0" collapsed="false">
      <c r="A8" s="17" t="s">
        <v>239</v>
      </c>
      <c r="B8" s="18"/>
    </row>
    <row r="9" customFormat="false" ht="23.85" hidden="false" customHeight="false" outlineLevel="0" collapsed="false">
      <c r="A9" s="44" t="s">
        <v>240</v>
      </c>
      <c r="B9" s="45" t="s">
        <v>241</v>
      </c>
    </row>
    <row r="10" customFormat="false" ht="23.85" hidden="false" customHeight="false" outlineLevel="0" collapsed="false">
      <c r="A10" s="44" t="s">
        <v>242</v>
      </c>
      <c r="B10" s="45" t="s">
        <v>243</v>
      </c>
    </row>
    <row r="11" customFormat="false" ht="23.85" hidden="false" customHeight="false" outlineLevel="0" collapsed="false">
      <c r="A11" s="44" t="s">
        <v>244</v>
      </c>
      <c r="B11" s="45" t="s">
        <v>245</v>
      </c>
    </row>
    <row r="12" customFormat="false" ht="15" hidden="false" customHeight="false" outlineLevel="0" collapsed="false">
      <c r="A12" s="44" t="s">
        <v>246</v>
      </c>
      <c r="B12" s="45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2026-10-23T03:53:26Z</dcterms:created>
  <dc:creator>openpyxl</dc:creator>
  <dc:description/>
  <dc:language>en-US</dc:language>
  <cp:lastModifiedBy/>
  <dcterms:modified xsi:type="dcterms:W3CDTF">2026-10-23T03:53:28Z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